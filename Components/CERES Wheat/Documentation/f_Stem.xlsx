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Q:\HUME\HUME\Components\CERES Wheat\Documentation\"/>
    </mc:Choice>
  </mc:AlternateContent>
  <xr:revisionPtr revIDLastSave="0" documentId="13_ncr:1_{F890E0EE-7B80-4587-AB77-D1CB0C99EC21}" xr6:coauthVersionLast="36" xr6:coauthVersionMax="36" xr10:uidLastSave="{00000000-0000-0000-0000-000000000000}"/>
  <bookViews>
    <workbookView xWindow="0" yWindow="0" windowWidth="38400" windowHeight="12105" xr2:uid="{0999BD58-9C05-4BA3-AE99-CA8CA0504F01}"/>
  </bookViews>
  <sheets>
    <sheet name="Tabelle1" sheetId="1" r:id="rId1"/>
  </sheets>
  <definedNames>
    <definedName name="g_">Tabelle1!$F$2</definedName>
    <definedName name="h_">Tabelle1!$G$2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4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D4" i="1"/>
  <c r="C4" i="1"/>
</calcChain>
</file>

<file path=xl/sharedStrings.xml><?xml version="1.0" encoding="utf-8"?>
<sst xmlns="http://schemas.openxmlformats.org/spreadsheetml/2006/main" count="10" uniqueCount="10">
  <si>
    <t>TM Blatt</t>
  </si>
  <si>
    <t>TM Stengel</t>
  </si>
  <si>
    <t>lnBlatt</t>
  </si>
  <si>
    <t>lnStaengel</t>
  </si>
  <si>
    <t>fStem</t>
  </si>
  <si>
    <t>fstem_pred</t>
  </si>
  <si>
    <t>fLeaf</t>
  </si>
  <si>
    <t>g_</t>
  </si>
  <si>
    <t>h_</t>
  </si>
  <si>
    <t>fLeafpred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</si>
</sst>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0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/>
    <xf numFmtId="164" fontId="1" fillId="0" borderId="0" xfId="0" applyNumberFormat="1" applyFont="1" applyFill="1"/>
    <xf numFmtId="2" fontId="1" fillId="0" borderId="0" xfId="0" applyNumberFormat="1" applyFont="1"/>
    <xf numFmtId="165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8087980230541359E-2"/>
          <c:y val="0.1062878999220353"/>
          <c:w val="0.93627849150435138"/>
          <c:h val="0.84775686943388007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Tabelle1!$D$3</c:f>
              <c:strCache>
                <c:ptCount val="1"/>
                <c:pt idx="0">
                  <c:v>lnStaengel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860848643919507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Tabelle1!$C$4:$C$87</c:f>
              <c:numCache>
                <c:formatCode>0.00</c:formatCode>
                <c:ptCount val="84"/>
                <c:pt idx="0">
                  <c:v>5.0114232846498705</c:v>
                </c:pt>
                <c:pt idx="1">
                  <c:v>4.964839455161222</c:v>
                </c:pt>
                <c:pt idx="2">
                  <c:v>4.5120896397294077</c:v>
                </c:pt>
                <c:pt idx="3">
                  <c:v>4.9536692405921992</c:v>
                </c:pt>
                <c:pt idx="4">
                  <c:v>5.006393921791739</c:v>
                </c:pt>
                <c:pt idx="5">
                  <c:v>5.4607836194690309</c:v>
                </c:pt>
                <c:pt idx="6">
                  <c:v>5.5348536862507478</c:v>
                </c:pt>
                <c:pt idx="7">
                  <c:v>5.3194415274485971</c:v>
                </c:pt>
                <c:pt idx="8">
                  <c:v>4.144883353243431</c:v>
                </c:pt>
                <c:pt idx="9">
                  <c:v>4.1156218055855316</c:v>
                </c:pt>
                <c:pt idx="10">
                  <c:v>4.0875877436971937</c:v>
                </c:pt>
                <c:pt idx="11">
                  <c:v>4.4862568635570028</c:v>
                </c:pt>
                <c:pt idx="12">
                  <c:v>4.6457877612532616</c:v>
                </c:pt>
                <c:pt idx="13">
                  <c:v>3.7996273043304578</c:v>
                </c:pt>
                <c:pt idx="14">
                  <c:v>4.4065697694172705</c:v>
                </c:pt>
                <c:pt idx="15">
                  <c:v>4.3433111923073984</c:v>
                </c:pt>
                <c:pt idx="16">
                  <c:v>4.4115854369154262</c:v>
                </c:pt>
                <c:pt idx="17">
                  <c:v>4.296496767131706</c:v>
                </c:pt>
                <c:pt idx="18">
                  <c:v>4.3866992757425392</c:v>
                </c:pt>
                <c:pt idx="19">
                  <c:v>4.020365712528716</c:v>
                </c:pt>
                <c:pt idx="20">
                  <c:v>4.2989348388074289</c:v>
                </c:pt>
                <c:pt idx="21">
                  <c:v>4.2118679771592928</c:v>
                </c:pt>
                <c:pt idx="22">
                  <c:v>4.3010785881295224</c:v>
                </c:pt>
                <c:pt idx="23">
                  <c:v>4.5834952378870408</c:v>
                </c:pt>
                <c:pt idx="24">
                  <c:v>4.680521857108598</c:v>
                </c:pt>
                <c:pt idx="25">
                  <c:v>4.7411106516508408</c:v>
                </c:pt>
                <c:pt idx="26">
                  <c:v>4.4469554738298269</c:v>
                </c:pt>
                <c:pt idx="27">
                  <c:v>4.6781979831260436</c:v>
                </c:pt>
                <c:pt idx="28">
                  <c:v>5.0594603897511581</c:v>
                </c:pt>
                <c:pt idx="29">
                  <c:v>4.322590056048643</c:v>
                </c:pt>
                <c:pt idx="30">
                  <c:v>4.6174048238777052</c:v>
                </c:pt>
                <c:pt idx="31">
                  <c:v>4.8189409566004491</c:v>
                </c:pt>
                <c:pt idx="32">
                  <c:v>4.9199383837227968</c:v>
                </c:pt>
                <c:pt idx="33">
                  <c:v>4.8380613786527915</c:v>
                </c:pt>
                <c:pt idx="34">
                  <c:v>4.3064692953871795</c:v>
                </c:pt>
                <c:pt idx="35">
                  <c:v>4.5238060834508254</c:v>
                </c:pt>
                <c:pt idx="36">
                  <c:v>4.6541724859578668</c:v>
                </c:pt>
                <c:pt idx="37">
                  <c:v>4.3963606087217313</c:v>
                </c:pt>
                <c:pt idx="38">
                  <c:v>4.7848528595355004</c:v>
                </c:pt>
                <c:pt idx="39">
                  <c:v>5.036859410111246</c:v>
                </c:pt>
                <c:pt idx="40">
                  <c:v>4.7510973724437235</c:v>
                </c:pt>
                <c:pt idx="41">
                  <c:v>5.0964158035038132</c:v>
                </c:pt>
                <c:pt idx="42">
                  <c:v>5.0086574100235621</c:v>
                </c:pt>
                <c:pt idx="43">
                  <c:v>5.2842133392685575</c:v>
                </c:pt>
                <c:pt idx="44">
                  <c:v>5.164007020696701</c:v>
                </c:pt>
                <c:pt idx="45">
                  <c:v>5.1676212570652282</c:v>
                </c:pt>
                <c:pt idx="46">
                  <c:v>5.2519029151020273</c:v>
                </c:pt>
                <c:pt idx="47">
                  <c:v>5.1962653653098831</c:v>
                </c:pt>
                <c:pt idx="48">
                  <c:v>5.2183026575111899</c:v>
                </c:pt>
                <c:pt idx="49">
                  <c:v>4.8537034183305421</c:v>
                </c:pt>
                <c:pt idx="50">
                  <c:v>4.8617329621069558</c:v>
                </c:pt>
                <c:pt idx="51">
                  <c:v>4.5657456617014596</c:v>
                </c:pt>
                <c:pt idx="52">
                  <c:v>5.246966363932132</c:v>
                </c:pt>
                <c:pt idx="53">
                  <c:v>4.9867506597879085</c:v>
                </c:pt>
                <c:pt idx="54">
                  <c:v>5.0876700808436741</c:v>
                </c:pt>
                <c:pt idx="55">
                  <c:v>5.1522665611509311</c:v>
                </c:pt>
                <c:pt idx="56">
                  <c:v>4.9682247890961522</c:v>
                </c:pt>
                <c:pt idx="57">
                  <c:v>5.1635950211182342</c:v>
                </c:pt>
                <c:pt idx="58">
                  <c:v>5.0770239545219882</c:v>
                </c:pt>
                <c:pt idx="59">
                  <c:v>5.2474798768232773</c:v>
                </c:pt>
                <c:pt idx="60">
                  <c:v>5.5360075524104015</c:v>
                </c:pt>
                <c:pt idx="61">
                  <c:v>5.577573157019561</c:v>
                </c:pt>
                <c:pt idx="62">
                  <c:v>5.4800456679205825</c:v>
                </c:pt>
                <c:pt idx="63">
                  <c:v>5.416239502870317</c:v>
                </c:pt>
                <c:pt idx="64">
                  <c:v>5.4896775091349612</c:v>
                </c:pt>
                <c:pt idx="65">
                  <c:v>5.1174134935830695</c:v>
                </c:pt>
                <c:pt idx="66">
                  <c:v>5.2469410892059125</c:v>
                </c:pt>
                <c:pt idx="67">
                  <c:v>5.1965009585378983</c:v>
                </c:pt>
                <c:pt idx="68">
                  <c:v>5.3449945202263134</c:v>
                </c:pt>
                <c:pt idx="69">
                  <c:v>5.3735443249938122</c:v>
                </c:pt>
                <c:pt idx="70">
                  <c:v>5.4873929265671082</c:v>
                </c:pt>
                <c:pt idx="71">
                  <c:v>5.6859695906452039</c:v>
                </c:pt>
                <c:pt idx="72">
                  <c:v>4.3163291848923722</c:v>
                </c:pt>
                <c:pt idx="73">
                  <c:v>4.243010842430893</c:v>
                </c:pt>
                <c:pt idx="74">
                  <c:v>3.9328478170709769</c:v>
                </c:pt>
                <c:pt idx="75">
                  <c:v>3.8991783203587227</c:v>
                </c:pt>
                <c:pt idx="76">
                  <c:v>4.5315172855369452</c:v>
                </c:pt>
                <c:pt idx="77">
                  <c:v>4.6498621885919622</c:v>
                </c:pt>
                <c:pt idx="78">
                  <c:v>4.998647831488209</c:v>
                </c:pt>
                <c:pt idx="79">
                  <c:v>4.7183511796703126</c:v>
                </c:pt>
                <c:pt idx="80">
                  <c:v>5.3728479719291125</c:v>
                </c:pt>
                <c:pt idx="81">
                  <c:v>5.3431852004277047</c:v>
                </c:pt>
                <c:pt idx="82">
                  <c:v>4.9802812507450183</c:v>
                </c:pt>
                <c:pt idx="83">
                  <c:v>5.1015054444145509</c:v>
                </c:pt>
              </c:numCache>
            </c:numRef>
          </c:xVal>
          <c:yVal>
            <c:numRef>
              <c:f>Tabelle1!$D$4:$D$87</c:f>
              <c:numCache>
                <c:formatCode>0.00</c:formatCode>
                <c:ptCount val="84"/>
                <c:pt idx="0">
                  <c:v>5.1721781358850496</c:v>
                </c:pt>
                <c:pt idx="1">
                  <c:v>5.102187646312446</c:v>
                </c:pt>
                <c:pt idx="2">
                  <c:v>4.4631801366971322</c:v>
                </c:pt>
                <c:pt idx="3">
                  <c:v>4.9626540270000143</c:v>
                </c:pt>
                <c:pt idx="4">
                  <c:v>5.5421188337714469</c:v>
                </c:pt>
                <c:pt idx="5">
                  <c:v>6.0321103897507697</c:v>
                </c:pt>
                <c:pt idx="6">
                  <c:v>6.0478747005801736</c:v>
                </c:pt>
                <c:pt idx="7">
                  <c:v>5.7702105498621616</c:v>
                </c:pt>
                <c:pt idx="8">
                  <c:v>3.9537356138212045</c:v>
                </c:pt>
                <c:pt idx="9">
                  <c:v>3.919786529624854</c:v>
                </c:pt>
                <c:pt idx="10">
                  <c:v>3.7547618192290009</c:v>
                </c:pt>
                <c:pt idx="11">
                  <c:v>4.6305603531634372</c:v>
                </c:pt>
                <c:pt idx="12">
                  <c:v>4.670345612034926</c:v>
                </c:pt>
                <c:pt idx="13">
                  <c:v>3.4890700424866909</c:v>
                </c:pt>
                <c:pt idx="14">
                  <c:v>4.2371779606317341</c:v>
                </c:pt>
                <c:pt idx="15">
                  <c:v>4.2352369707779758</c:v>
                </c:pt>
                <c:pt idx="16">
                  <c:v>4.2654928184179299</c:v>
                </c:pt>
                <c:pt idx="17">
                  <c:v>4.2643396554971744</c:v>
                </c:pt>
                <c:pt idx="18">
                  <c:v>4.1870044757418547</c:v>
                </c:pt>
                <c:pt idx="19">
                  <c:v>3.6888424498191776</c:v>
                </c:pt>
                <c:pt idx="20">
                  <c:v>4.1654034461829061</c:v>
                </c:pt>
                <c:pt idx="21">
                  <c:v>3.9807562561959058</c:v>
                </c:pt>
                <c:pt idx="22">
                  <c:v>4.2091702171794854</c:v>
                </c:pt>
                <c:pt idx="23">
                  <c:v>4.5600072565798264</c:v>
                </c:pt>
                <c:pt idx="24">
                  <c:v>4.6525657798420079</c:v>
                </c:pt>
                <c:pt idx="25">
                  <c:v>4.6269182841251855</c:v>
                </c:pt>
                <c:pt idx="26">
                  <c:v>4.3227191150014717</c:v>
                </c:pt>
                <c:pt idx="27">
                  <c:v>4.6919344628539301</c:v>
                </c:pt>
                <c:pt idx="28">
                  <c:v>5.0117979392619949</c:v>
                </c:pt>
                <c:pt idx="29">
                  <c:v>4.2851904684492617</c:v>
                </c:pt>
                <c:pt idx="30">
                  <c:v>4.6429381258828704</c:v>
                </c:pt>
                <c:pt idx="31">
                  <c:v>4.7747958578364891</c:v>
                </c:pt>
                <c:pt idx="32">
                  <c:v>4.9299011062264713</c:v>
                </c:pt>
                <c:pt idx="33">
                  <c:v>4.9403243182664829</c:v>
                </c:pt>
                <c:pt idx="34">
                  <c:v>4.1184170638842401</c:v>
                </c:pt>
                <c:pt idx="35">
                  <c:v>4.4300331829653867</c:v>
                </c:pt>
                <c:pt idx="36">
                  <c:v>4.6590684565700737</c:v>
                </c:pt>
                <c:pt idx="37">
                  <c:v>4.2899802051631593</c:v>
                </c:pt>
                <c:pt idx="38">
                  <c:v>4.8059556356032367</c:v>
                </c:pt>
                <c:pt idx="39">
                  <c:v>5.1060324455478785</c:v>
                </c:pt>
                <c:pt idx="40">
                  <c:v>5.0532400623307625</c:v>
                </c:pt>
                <c:pt idx="41">
                  <c:v>5.2051320270086112</c:v>
                </c:pt>
                <c:pt idx="42">
                  <c:v>5.150608167280998</c:v>
                </c:pt>
                <c:pt idx="43">
                  <c:v>5.5948638077212882</c:v>
                </c:pt>
                <c:pt idx="44">
                  <c:v>5.3513663715206121</c:v>
                </c:pt>
                <c:pt idx="45">
                  <c:v>5.2254408279540545</c:v>
                </c:pt>
                <c:pt idx="46">
                  <c:v>5.5561743919797557</c:v>
                </c:pt>
                <c:pt idx="47">
                  <c:v>5.4391373626955062</c:v>
                </c:pt>
                <c:pt idx="48">
                  <c:v>5.3711004622730281</c:v>
                </c:pt>
                <c:pt idx="49">
                  <c:v>5.2105001575315892</c:v>
                </c:pt>
                <c:pt idx="50">
                  <c:v>4.9692020710605407</c:v>
                </c:pt>
                <c:pt idx="51">
                  <c:v>4.7451560082879558</c:v>
                </c:pt>
                <c:pt idx="52">
                  <c:v>5.4316717120813633</c:v>
                </c:pt>
                <c:pt idx="53">
                  <c:v>5.1703717619239491</c:v>
                </c:pt>
                <c:pt idx="54">
                  <c:v>5.3241218133603789</c:v>
                </c:pt>
                <c:pt idx="55">
                  <c:v>5.3525083481784561</c:v>
                </c:pt>
                <c:pt idx="56">
                  <c:v>5.4114164001430964</c:v>
                </c:pt>
                <c:pt idx="57">
                  <c:v>5.6914679366322591</c:v>
                </c:pt>
                <c:pt idx="58">
                  <c:v>5.6076522055841584</c:v>
                </c:pt>
                <c:pt idx="59">
                  <c:v>5.8714228364291419</c:v>
                </c:pt>
                <c:pt idx="60">
                  <c:v>6.0667036483791419</c:v>
                </c:pt>
                <c:pt idx="61">
                  <c:v>6.0157934385163649</c:v>
                </c:pt>
                <c:pt idx="62">
                  <c:v>5.9165856523031044</c:v>
                </c:pt>
                <c:pt idx="63">
                  <c:v>5.9335406349253343</c:v>
                </c:pt>
                <c:pt idx="64">
                  <c:v>5.7758578543184855</c:v>
                </c:pt>
                <c:pt idx="65">
                  <c:v>5.7821526617708914</c:v>
                </c:pt>
                <c:pt idx="66">
                  <c:v>5.6070357392261707</c:v>
                </c:pt>
                <c:pt idx="67">
                  <c:v>5.5504794919692779</c:v>
                </c:pt>
                <c:pt idx="68">
                  <c:v>5.7915590868357425</c:v>
                </c:pt>
                <c:pt idx="69">
                  <c:v>5.7508385561352799</c:v>
                </c:pt>
                <c:pt idx="70">
                  <c:v>5.9274953382659721</c:v>
                </c:pt>
                <c:pt idx="71">
                  <c:v>6.0342762849134193</c:v>
                </c:pt>
                <c:pt idx="72">
                  <c:v>3.8103638380086342</c:v>
                </c:pt>
                <c:pt idx="73">
                  <c:v>3.9004130123829976</c:v>
                </c:pt>
                <c:pt idx="74">
                  <c:v>3.59533337087132</c:v>
                </c:pt>
                <c:pt idx="75">
                  <c:v>3.5530060986191394</c:v>
                </c:pt>
                <c:pt idx="76">
                  <c:v>4.3357286176721024</c:v>
                </c:pt>
                <c:pt idx="77">
                  <c:v>4.5550280859211236</c:v>
                </c:pt>
                <c:pt idx="78">
                  <c:v>4.8506807981963629</c:v>
                </c:pt>
                <c:pt idx="79">
                  <c:v>4.5607640703444732</c:v>
                </c:pt>
                <c:pt idx="80">
                  <c:v>5.7881369094038835</c:v>
                </c:pt>
                <c:pt idx="81">
                  <c:v>5.7202530079295775</c:v>
                </c:pt>
                <c:pt idx="82">
                  <c:v>5.2432522193112048</c:v>
                </c:pt>
                <c:pt idx="83">
                  <c:v>5.4212912657793515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F5-4ED6-A1B4-A2AD19ED4F70}"/>
            </c:ext>
          </c:extLst>
        </c:ser>
        <c:ser>
          <c:idx val="1"/>
          <c:order val="1"/>
          <c:tx>
            <c:v>fit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Tabelle1!$C$4:$C$87</c:f>
              <c:numCache>
                <c:formatCode>0.00</c:formatCode>
                <c:ptCount val="84"/>
                <c:pt idx="0">
                  <c:v>5.0114232846498705</c:v>
                </c:pt>
                <c:pt idx="1">
                  <c:v>4.964839455161222</c:v>
                </c:pt>
                <c:pt idx="2">
                  <c:v>4.5120896397294077</c:v>
                </c:pt>
                <c:pt idx="3">
                  <c:v>4.9536692405921992</c:v>
                </c:pt>
                <c:pt idx="4">
                  <c:v>5.006393921791739</c:v>
                </c:pt>
                <c:pt idx="5">
                  <c:v>5.4607836194690309</c:v>
                </c:pt>
                <c:pt idx="6">
                  <c:v>5.5348536862507478</c:v>
                </c:pt>
                <c:pt idx="7">
                  <c:v>5.3194415274485971</c:v>
                </c:pt>
                <c:pt idx="8">
                  <c:v>4.144883353243431</c:v>
                </c:pt>
                <c:pt idx="9">
                  <c:v>4.1156218055855316</c:v>
                </c:pt>
                <c:pt idx="10">
                  <c:v>4.0875877436971937</c:v>
                </c:pt>
                <c:pt idx="11">
                  <c:v>4.4862568635570028</c:v>
                </c:pt>
                <c:pt idx="12">
                  <c:v>4.6457877612532616</c:v>
                </c:pt>
                <c:pt idx="13">
                  <c:v>3.7996273043304578</c:v>
                </c:pt>
                <c:pt idx="14">
                  <c:v>4.4065697694172705</c:v>
                </c:pt>
                <c:pt idx="15">
                  <c:v>4.3433111923073984</c:v>
                </c:pt>
                <c:pt idx="16">
                  <c:v>4.4115854369154262</c:v>
                </c:pt>
                <c:pt idx="17">
                  <c:v>4.296496767131706</c:v>
                </c:pt>
                <c:pt idx="18">
                  <c:v>4.3866992757425392</c:v>
                </c:pt>
                <c:pt idx="19">
                  <c:v>4.020365712528716</c:v>
                </c:pt>
                <c:pt idx="20">
                  <c:v>4.2989348388074289</c:v>
                </c:pt>
                <c:pt idx="21">
                  <c:v>4.2118679771592928</c:v>
                </c:pt>
                <c:pt idx="22">
                  <c:v>4.3010785881295224</c:v>
                </c:pt>
                <c:pt idx="23">
                  <c:v>4.5834952378870408</c:v>
                </c:pt>
                <c:pt idx="24">
                  <c:v>4.680521857108598</c:v>
                </c:pt>
                <c:pt idx="25">
                  <c:v>4.7411106516508408</c:v>
                </c:pt>
                <c:pt idx="26">
                  <c:v>4.4469554738298269</c:v>
                </c:pt>
                <c:pt idx="27">
                  <c:v>4.6781979831260436</c:v>
                </c:pt>
                <c:pt idx="28">
                  <c:v>5.0594603897511581</c:v>
                </c:pt>
                <c:pt idx="29">
                  <c:v>4.322590056048643</c:v>
                </c:pt>
                <c:pt idx="30">
                  <c:v>4.6174048238777052</c:v>
                </c:pt>
                <c:pt idx="31">
                  <c:v>4.8189409566004491</c:v>
                </c:pt>
                <c:pt idx="32">
                  <c:v>4.9199383837227968</c:v>
                </c:pt>
                <c:pt idx="33">
                  <c:v>4.8380613786527915</c:v>
                </c:pt>
                <c:pt idx="34">
                  <c:v>4.3064692953871795</c:v>
                </c:pt>
                <c:pt idx="35">
                  <c:v>4.5238060834508254</c:v>
                </c:pt>
                <c:pt idx="36">
                  <c:v>4.6541724859578668</c:v>
                </c:pt>
                <c:pt idx="37">
                  <c:v>4.3963606087217313</c:v>
                </c:pt>
                <c:pt idx="38">
                  <c:v>4.7848528595355004</c:v>
                </c:pt>
                <c:pt idx="39">
                  <c:v>5.036859410111246</c:v>
                </c:pt>
                <c:pt idx="40">
                  <c:v>4.7510973724437235</c:v>
                </c:pt>
                <c:pt idx="41">
                  <c:v>5.0964158035038132</c:v>
                </c:pt>
                <c:pt idx="42">
                  <c:v>5.0086574100235621</c:v>
                </c:pt>
                <c:pt idx="43">
                  <c:v>5.2842133392685575</c:v>
                </c:pt>
                <c:pt idx="44">
                  <c:v>5.164007020696701</c:v>
                </c:pt>
                <c:pt idx="45">
                  <c:v>5.1676212570652282</c:v>
                </c:pt>
                <c:pt idx="46">
                  <c:v>5.2519029151020273</c:v>
                </c:pt>
                <c:pt idx="47">
                  <c:v>5.1962653653098831</c:v>
                </c:pt>
                <c:pt idx="48">
                  <c:v>5.2183026575111899</c:v>
                </c:pt>
                <c:pt idx="49">
                  <c:v>4.8537034183305421</c:v>
                </c:pt>
                <c:pt idx="50">
                  <c:v>4.8617329621069558</c:v>
                </c:pt>
                <c:pt idx="51">
                  <c:v>4.5657456617014596</c:v>
                </c:pt>
                <c:pt idx="52">
                  <c:v>5.246966363932132</c:v>
                </c:pt>
                <c:pt idx="53">
                  <c:v>4.9867506597879085</c:v>
                </c:pt>
                <c:pt idx="54">
                  <c:v>5.0876700808436741</c:v>
                </c:pt>
                <c:pt idx="55">
                  <c:v>5.1522665611509311</c:v>
                </c:pt>
                <c:pt idx="56">
                  <c:v>4.9682247890961522</c:v>
                </c:pt>
                <c:pt idx="57">
                  <c:v>5.1635950211182342</c:v>
                </c:pt>
                <c:pt idx="58">
                  <c:v>5.0770239545219882</c:v>
                </c:pt>
                <c:pt idx="59">
                  <c:v>5.2474798768232773</c:v>
                </c:pt>
                <c:pt idx="60">
                  <c:v>5.5360075524104015</c:v>
                </c:pt>
                <c:pt idx="61">
                  <c:v>5.577573157019561</c:v>
                </c:pt>
                <c:pt idx="62">
                  <c:v>5.4800456679205825</c:v>
                </c:pt>
                <c:pt idx="63">
                  <c:v>5.416239502870317</c:v>
                </c:pt>
                <c:pt idx="64">
                  <c:v>5.4896775091349612</c:v>
                </c:pt>
                <c:pt idx="65">
                  <c:v>5.1174134935830695</c:v>
                </c:pt>
                <c:pt idx="66">
                  <c:v>5.2469410892059125</c:v>
                </c:pt>
                <c:pt idx="67">
                  <c:v>5.1965009585378983</c:v>
                </c:pt>
                <c:pt idx="68">
                  <c:v>5.3449945202263134</c:v>
                </c:pt>
                <c:pt idx="69">
                  <c:v>5.3735443249938122</c:v>
                </c:pt>
                <c:pt idx="70">
                  <c:v>5.4873929265671082</c:v>
                </c:pt>
                <c:pt idx="71">
                  <c:v>5.6859695906452039</c:v>
                </c:pt>
                <c:pt idx="72">
                  <c:v>4.3163291848923722</c:v>
                </c:pt>
                <c:pt idx="73">
                  <c:v>4.243010842430893</c:v>
                </c:pt>
                <c:pt idx="74">
                  <c:v>3.9328478170709769</c:v>
                </c:pt>
                <c:pt idx="75">
                  <c:v>3.8991783203587227</c:v>
                </c:pt>
                <c:pt idx="76">
                  <c:v>4.5315172855369452</c:v>
                </c:pt>
                <c:pt idx="77">
                  <c:v>4.6498621885919622</c:v>
                </c:pt>
                <c:pt idx="78">
                  <c:v>4.998647831488209</c:v>
                </c:pt>
                <c:pt idx="79">
                  <c:v>4.7183511796703126</c:v>
                </c:pt>
                <c:pt idx="80">
                  <c:v>5.3728479719291125</c:v>
                </c:pt>
                <c:pt idx="81">
                  <c:v>5.3431852004277047</c:v>
                </c:pt>
                <c:pt idx="82">
                  <c:v>4.9802812507450183</c:v>
                </c:pt>
                <c:pt idx="83">
                  <c:v>5.1015054444145509</c:v>
                </c:pt>
              </c:numCache>
            </c:numRef>
          </c:xVal>
          <c:yVal>
            <c:numRef>
              <c:f>Tabelle1!$I$4:$I$87</c:f>
              <c:numCache>
                <c:formatCode>General</c:formatCode>
                <c:ptCount val="84"/>
                <c:pt idx="0">
                  <c:v>5.1866779955888109</c:v>
                </c:pt>
                <c:pt idx="1">
                  <c:v>5.1186656045353844</c:v>
                </c:pt>
                <c:pt idx="2">
                  <c:v>4.4576508740049352</c:v>
                </c:pt>
                <c:pt idx="3">
                  <c:v>5.1023570912646106</c:v>
                </c:pt>
                <c:pt idx="4">
                  <c:v>5.179335125815939</c:v>
                </c:pt>
                <c:pt idx="5">
                  <c:v>5.8427440844247851</c:v>
                </c:pt>
                <c:pt idx="6">
                  <c:v>5.9508863819260922</c:v>
                </c:pt>
                <c:pt idx="7">
                  <c:v>5.6363846300749518</c:v>
                </c:pt>
                <c:pt idx="8">
                  <c:v>3.9215296957354093</c:v>
                </c:pt>
                <c:pt idx="9">
                  <c:v>3.8788078361548761</c:v>
                </c:pt>
                <c:pt idx="10">
                  <c:v>3.8378781057979028</c:v>
                </c:pt>
                <c:pt idx="11">
                  <c:v>4.4199350207932238</c:v>
                </c:pt>
                <c:pt idx="12">
                  <c:v>4.6528501314297621</c:v>
                </c:pt>
                <c:pt idx="13">
                  <c:v>3.4174558643224682</c:v>
                </c:pt>
                <c:pt idx="14">
                  <c:v>4.3035918633492152</c:v>
                </c:pt>
                <c:pt idx="15">
                  <c:v>4.2112343407688018</c:v>
                </c:pt>
                <c:pt idx="16">
                  <c:v>4.310914737896522</c:v>
                </c:pt>
                <c:pt idx="17">
                  <c:v>4.1428852800122904</c:v>
                </c:pt>
                <c:pt idx="18">
                  <c:v>4.274580942584107</c:v>
                </c:pt>
                <c:pt idx="19">
                  <c:v>3.7397339402919254</c:v>
                </c:pt>
                <c:pt idx="20">
                  <c:v>4.1464448646588465</c:v>
                </c:pt>
                <c:pt idx="21">
                  <c:v>4.0193272466525674</c:v>
                </c:pt>
                <c:pt idx="22">
                  <c:v>4.1495747386691022</c:v>
                </c:pt>
                <c:pt idx="23">
                  <c:v>4.5619030473150799</c:v>
                </c:pt>
                <c:pt idx="24">
                  <c:v>4.7035619113785527</c:v>
                </c:pt>
                <c:pt idx="25">
                  <c:v>4.7920215514102278</c:v>
                </c:pt>
                <c:pt idx="26">
                  <c:v>4.3625549917915469</c:v>
                </c:pt>
                <c:pt idx="27">
                  <c:v>4.7001690553640234</c:v>
                </c:pt>
                <c:pt idx="28">
                  <c:v>5.2568121690366905</c:v>
                </c:pt>
                <c:pt idx="29">
                  <c:v>4.1809814818310187</c:v>
                </c:pt>
                <c:pt idx="30">
                  <c:v>4.6114110428614499</c:v>
                </c:pt>
                <c:pt idx="31">
                  <c:v>4.9056537966366554</c:v>
                </c:pt>
                <c:pt idx="32">
                  <c:v>5.0531100402352829</c:v>
                </c:pt>
                <c:pt idx="33">
                  <c:v>4.9335696128330753</c:v>
                </c:pt>
                <c:pt idx="34">
                  <c:v>4.157445171265282</c:v>
                </c:pt>
                <c:pt idx="35">
                  <c:v>4.4747568818382053</c:v>
                </c:pt>
                <c:pt idx="36">
                  <c:v>4.6650918294984853</c:v>
                </c:pt>
                <c:pt idx="37">
                  <c:v>4.2886864887337275</c:v>
                </c:pt>
                <c:pt idx="38">
                  <c:v>4.8558851749218306</c:v>
                </c:pt>
                <c:pt idx="39">
                  <c:v>5.2238147387624192</c:v>
                </c:pt>
                <c:pt idx="40">
                  <c:v>4.8066021637678364</c:v>
                </c:pt>
                <c:pt idx="41">
                  <c:v>5.3107670731155672</c:v>
                </c:pt>
                <c:pt idx="42">
                  <c:v>5.1826398186344003</c:v>
                </c:pt>
                <c:pt idx="43">
                  <c:v>5.5849514753320939</c:v>
                </c:pt>
                <c:pt idx="44">
                  <c:v>5.4094502502171835</c:v>
                </c:pt>
                <c:pt idx="45">
                  <c:v>5.4147270353152335</c:v>
                </c:pt>
                <c:pt idx="46">
                  <c:v>5.5377782560489601</c:v>
                </c:pt>
                <c:pt idx="47">
                  <c:v>5.4565474333524291</c:v>
                </c:pt>
                <c:pt idx="48">
                  <c:v>5.4887218799663371</c:v>
                </c:pt>
                <c:pt idx="49">
                  <c:v>4.9564069907625914</c:v>
                </c:pt>
                <c:pt idx="50">
                  <c:v>4.9681301246761551</c:v>
                </c:pt>
                <c:pt idx="51">
                  <c:v>4.5359886660841306</c:v>
                </c:pt>
                <c:pt idx="52">
                  <c:v>5.5305708913409131</c:v>
                </c:pt>
                <c:pt idx="53">
                  <c:v>5.1506559632903466</c:v>
                </c:pt>
                <c:pt idx="54">
                  <c:v>5.2979983180317642</c:v>
                </c:pt>
                <c:pt idx="55">
                  <c:v>5.3923091792803595</c:v>
                </c:pt>
                <c:pt idx="56">
                  <c:v>5.1236081920803818</c:v>
                </c:pt>
                <c:pt idx="57">
                  <c:v>5.4088487308326219</c:v>
                </c:pt>
                <c:pt idx="58">
                  <c:v>5.2824549736021025</c:v>
                </c:pt>
                <c:pt idx="59">
                  <c:v>5.5313206201619849</c:v>
                </c:pt>
                <c:pt idx="60">
                  <c:v>5.9525710265191867</c:v>
                </c:pt>
                <c:pt idx="61">
                  <c:v>6.013256809248559</c:v>
                </c:pt>
                <c:pt idx="62">
                  <c:v>5.8708666751640495</c:v>
                </c:pt>
                <c:pt idx="63">
                  <c:v>5.7777096741906631</c:v>
                </c:pt>
                <c:pt idx="64">
                  <c:v>5.884929163337044</c:v>
                </c:pt>
                <c:pt idx="65">
                  <c:v>5.3414237006312817</c:v>
                </c:pt>
                <c:pt idx="66">
                  <c:v>5.5305339902406319</c:v>
                </c:pt>
                <c:pt idx="67">
                  <c:v>5.4568913994653316</c:v>
                </c:pt>
                <c:pt idx="68">
                  <c:v>5.6736919995304174</c:v>
                </c:pt>
                <c:pt idx="69">
                  <c:v>5.7153747144909657</c:v>
                </c:pt>
                <c:pt idx="70">
                  <c:v>5.8815936727879778</c:v>
                </c:pt>
                <c:pt idx="71">
                  <c:v>6.171515602341997</c:v>
                </c:pt>
                <c:pt idx="72">
                  <c:v>4.1718406099428629</c:v>
                </c:pt>
                <c:pt idx="73">
                  <c:v>4.0647958299491034</c:v>
                </c:pt>
                <c:pt idx="74">
                  <c:v>3.6119578129236265</c:v>
                </c:pt>
                <c:pt idx="75">
                  <c:v>3.5628003477237353</c:v>
                </c:pt>
                <c:pt idx="76">
                  <c:v>4.4860152368839401</c:v>
                </c:pt>
                <c:pt idx="77">
                  <c:v>4.6587987953442651</c:v>
                </c:pt>
                <c:pt idx="78">
                  <c:v>5.1680258339727851</c:v>
                </c:pt>
                <c:pt idx="79">
                  <c:v>4.7587927223186561</c:v>
                </c:pt>
                <c:pt idx="80">
                  <c:v>5.7143580390165045</c:v>
                </c:pt>
                <c:pt idx="81">
                  <c:v>5.6710503926244487</c:v>
                </c:pt>
                <c:pt idx="82">
                  <c:v>5.1412106260877266</c:v>
                </c:pt>
                <c:pt idx="83">
                  <c:v>5.3181979488452447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69-49F1-AF17-ECD397D01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832864"/>
        <c:axId val="245725632"/>
      </c:scatterChart>
      <c:valAx>
        <c:axId val="372832864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5725632"/>
        <c:crosses val="autoZero"/>
        <c:crossBetween val="midCat"/>
      </c:valAx>
      <c:valAx>
        <c:axId val="24572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7283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1210870516185477"/>
          <c:y val="2.5428331875182269E-2"/>
          <c:w val="0.84273862642169728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Tabelle1!$B$3</c:f>
              <c:strCache>
                <c:ptCount val="1"/>
                <c:pt idx="0">
                  <c:v>TM Stengel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Tabelle1!$A$4:$A$87</c:f>
              <c:numCache>
                <c:formatCode>0.0</c:formatCode>
                <c:ptCount val="84"/>
                <c:pt idx="0">
                  <c:v>150.1182451649602</c:v>
                </c:pt>
                <c:pt idx="1">
                  <c:v>143.28554467200951</c:v>
                </c:pt>
                <c:pt idx="2">
                  <c:v>91.112011002445016</c:v>
                </c:pt>
                <c:pt idx="3">
                  <c:v>141.69392033542979</c:v>
                </c:pt>
                <c:pt idx="4">
                  <c:v>149.36514144179378</c:v>
                </c:pt>
                <c:pt idx="5">
                  <c:v>235.28172348484853</c:v>
                </c:pt>
                <c:pt idx="6">
                  <c:v>253.37071330589848</c:v>
                </c:pt>
                <c:pt idx="7">
                  <c:v>204.26977107180025</c:v>
                </c:pt>
                <c:pt idx="8" formatCode="0.00">
                  <c:v>63.11025986525506</c:v>
                </c:pt>
                <c:pt idx="9" formatCode="0.00">
                  <c:v>61.290313075506447</c:v>
                </c:pt>
                <c:pt idx="10" formatCode="0.00">
                  <c:v>59.595957446808505</c:v>
                </c:pt>
                <c:pt idx="11" formatCode="0.00">
                  <c:v>88.788475711892787</c:v>
                </c:pt>
                <c:pt idx="12" formatCode="0.00">
                  <c:v>104.14537517053206</c:v>
                </c:pt>
                <c:pt idx="13" formatCode="0.00">
                  <c:v>44.684527659574464</c:v>
                </c:pt>
                <c:pt idx="14" formatCode="0.00">
                  <c:v>81.987743732590516</c:v>
                </c:pt>
                <c:pt idx="15" formatCode="0.00">
                  <c:v>76.961953727506426</c:v>
                </c:pt>
                <c:pt idx="16" formatCode="0.00">
                  <c:v>82.4</c:v>
                </c:pt>
                <c:pt idx="17" formatCode="0.00">
                  <c:v>73.442057877813497</c:v>
                </c:pt>
                <c:pt idx="18" formatCode="0.00">
                  <c:v>80.374685990338151</c:v>
                </c:pt>
                <c:pt idx="19" formatCode="0.00">
                  <c:v>55.721480144404339</c:v>
                </c:pt>
                <c:pt idx="20" formatCode="0.00">
                  <c:v>73.62133333333334</c:v>
                </c:pt>
                <c:pt idx="21" formatCode="0.00">
                  <c:v>67.482477876106188</c:v>
                </c:pt>
                <c:pt idx="22" formatCode="0.00">
                  <c:v>73.779328307059629</c:v>
                </c:pt>
                <c:pt idx="23" formatCode="0.00">
                  <c:v>97.855826558265576</c:v>
                </c:pt>
                <c:pt idx="24" formatCode="0.00">
                  <c:v>107.82632782719188</c:v>
                </c:pt>
                <c:pt idx="25" formatCode="0.00">
                  <c:v>114.56136882129276</c:v>
                </c:pt>
                <c:pt idx="26" formatCode="0.00">
                  <c:v>85.366646971935012</c:v>
                </c:pt>
                <c:pt idx="27" formatCode="0.00">
                  <c:v>107.57604395604396</c:v>
                </c:pt>
                <c:pt idx="28" formatCode="0.00">
                  <c:v>157.50550180505417</c:v>
                </c:pt>
                <c:pt idx="29" formatCode="0.00">
                  <c:v>75.383623468729851</c:v>
                </c:pt>
                <c:pt idx="30" formatCode="0.00">
                  <c:v>101.23097872340425</c:v>
                </c:pt>
                <c:pt idx="31" formatCode="0.00">
                  <c:v>123.83387586206898</c:v>
                </c:pt>
                <c:pt idx="32" formatCode="0.00">
                  <c:v>136.99417185554171</c:v>
                </c:pt>
                <c:pt idx="33" formatCode="0.00">
                  <c:v>126.22441304347826</c:v>
                </c:pt>
                <c:pt idx="34" formatCode="0.00">
                  <c:v>74.178124999999994</c:v>
                </c:pt>
                <c:pt idx="35" formatCode="0.00">
                  <c:v>92.185797950219623</c:v>
                </c:pt>
                <c:pt idx="36" formatCode="0.00">
                  <c:v>105.02227662178704</c:v>
                </c:pt>
                <c:pt idx="37" formatCode="0.00">
                  <c:v>81.154975845410632</c:v>
                </c:pt>
                <c:pt idx="38" formatCode="0.00">
                  <c:v>119.68375146541618</c:v>
                </c:pt>
                <c:pt idx="39" formatCode="0.00">
                  <c:v>153.98564905414221</c:v>
                </c:pt>
                <c:pt idx="40" formatCode="0.00">
                  <c:v>115.71119315623592</c:v>
                </c:pt>
                <c:pt idx="41" formatCode="0.00">
                  <c:v>163.43507284768211</c:v>
                </c:pt>
                <c:pt idx="42" formatCode="0.00">
                  <c:v>149.70361059765867</c:v>
                </c:pt>
                <c:pt idx="43" formatCode="0.00">
                  <c:v>197.19899371069187</c:v>
                </c:pt>
                <c:pt idx="44" formatCode="0.00">
                  <c:v>174.86373626373626</c:v>
                </c:pt>
                <c:pt idx="45" formatCode="0.00">
                  <c:v>175.49687861271678</c:v>
                </c:pt>
                <c:pt idx="46" formatCode="0.00">
                  <c:v>190.92924513618675</c:v>
                </c:pt>
                <c:pt idx="47" formatCode="0.00">
                  <c:v>180.59651884700668</c:v>
                </c:pt>
                <c:pt idx="48" formatCode="0.00">
                  <c:v>184.62055366682858</c:v>
                </c:pt>
                <c:pt idx="49" formatCode="0.00">
                  <c:v>128.21434302908725</c:v>
                </c:pt>
                <c:pt idx="50" formatCode="0.00">
                  <c:v>129.24799001248439</c:v>
                </c:pt>
                <c:pt idx="51" formatCode="0.00">
                  <c:v>96.134250926416087</c:v>
                </c:pt>
                <c:pt idx="52" formatCode="0.00">
                  <c:v>189.98903575297942</c:v>
                </c:pt>
                <c:pt idx="53" formatCode="0.00">
                  <c:v>146.45975191966923</c:v>
                </c:pt>
                <c:pt idx="54" formatCode="0.00">
                  <c:v>162.01194722955145</c:v>
                </c:pt>
                <c:pt idx="55" formatCode="0.00">
                  <c:v>172.8227600849257</c:v>
                </c:pt>
                <c:pt idx="56" formatCode="0.00">
                  <c:v>143.77143607705781</c:v>
                </c:pt>
                <c:pt idx="57" formatCode="0.00">
                  <c:v>174.79170731707319</c:v>
                </c:pt>
                <c:pt idx="58" formatCode="0.00">
                  <c:v>160.2962962962963</c:v>
                </c:pt>
                <c:pt idx="59" formatCode="0.00">
                  <c:v>190.08662262592895</c:v>
                </c:pt>
                <c:pt idx="60" formatCode="0.00">
                  <c:v>253.66323793250746</c:v>
                </c:pt>
                <c:pt idx="61" formatCode="0.00">
                  <c:v>264.42909856781802</c:v>
                </c:pt>
                <c:pt idx="62" formatCode="0.00">
                  <c:v>239.85766092475063</c:v>
                </c:pt>
                <c:pt idx="63" formatCode="0.00">
                  <c:v>225.03129982668978</c:v>
                </c:pt>
                <c:pt idx="64" formatCode="0.00">
                  <c:v>242.17909371781667</c:v>
                </c:pt>
                <c:pt idx="65" formatCode="0.00">
                  <c:v>166.90311486962651</c:v>
                </c:pt>
                <c:pt idx="66" formatCode="0.00">
                  <c:v>189.98423389279912</c:v>
                </c:pt>
                <c:pt idx="67" formatCode="0.00">
                  <c:v>180.63907117617362</c:v>
                </c:pt>
                <c:pt idx="68" formatCode="0.00">
                  <c:v>209.5567362722351</c:v>
                </c:pt>
                <c:pt idx="69" formatCode="0.00">
                  <c:v>215.62576271186441</c:v>
                </c:pt>
                <c:pt idx="70" formatCode="0.00">
                  <c:v>241.6264471057884</c:v>
                </c:pt>
                <c:pt idx="71" formatCode="0.00">
                  <c:v>294.70344827586206</c:v>
                </c:pt>
                <c:pt idx="72" formatCode="0.00">
                  <c:v>74.913130699088157</c:v>
                </c:pt>
                <c:pt idx="73" formatCode="0.00">
                  <c:v>69.617142857142852</c:v>
                </c:pt>
                <c:pt idx="74" formatCode="0.00">
                  <c:v>51.052158054711249</c:v>
                </c:pt>
                <c:pt idx="75" formatCode="0.00">
                  <c:v>49.361872791519431</c:v>
                </c:pt>
                <c:pt idx="76" formatCode="0.00">
                  <c:v>92.899409131602511</c:v>
                </c:pt>
                <c:pt idx="77" formatCode="0.00">
                  <c:v>104.57057356608478</c:v>
                </c:pt>
                <c:pt idx="78" formatCode="0.00">
                  <c:v>148.21261511728932</c:v>
                </c:pt>
                <c:pt idx="79" formatCode="0.00">
                  <c:v>111.98345975948196</c:v>
                </c:pt>
                <c:pt idx="80" formatCode="0.00">
                  <c:v>215.47566331832351</c:v>
                </c:pt>
                <c:pt idx="81" formatCode="0.00">
                  <c:v>209.17792392005157</c:v>
                </c:pt>
                <c:pt idx="82" formatCode="0.00">
                  <c:v>145.51530218602656</c:v>
                </c:pt>
                <c:pt idx="83" formatCode="0.00">
                  <c:v>164.26901912399757</c:v>
                </c:pt>
              </c:numCache>
            </c:numRef>
          </c:xVal>
          <c:yVal>
            <c:numRef>
              <c:f>Tabelle1!$B$4:$B$87</c:f>
              <c:numCache>
                <c:formatCode>0.0</c:formatCode>
                <c:ptCount val="84"/>
                <c:pt idx="0">
                  <c:v>176.29842150170651</c:v>
                </c:pt>
                <c:pt idx="1">
                  <c:v>164.38112199465721</c:v>
                </c:pt>
                <c:pt idx="2">
                  <c:v>86.762988997554984</c:v>
                </c:pt>
                <c:pt idx="3">
                  <c:v>142.97274633123686</c:v>
                </c:pt>
                <c:pt idx="4">
                  <c:v>255.21819189153959</c:v>
                </c:pt>
                <c:pt idx="5">
                  <c:v>416.59327651515162</c:v>
                </c:pt>
                <c:pt idx="6">
                  <c:v>423.21262002743481</c:v>
                </c:pt>
                <c:pt idx="7">
                  <c:v>320.60522892819984</c:v>
                </c:pt>
                <c:pt idx="8" formatCode="0.00">
                  <c:v>52.129740134744949</c:v>
                </c:pt>
                <c:pt idx="9" formatCode="0.00">
                  <c:v>50.38968692449356</c:v>
                </c:pt>
                <c:pt idx="10" formatCode="0.00">
                  <c:v>42.724042553191488</c:v>
                </c:pt>
                <c:pt idx="11" formatCode="0.00">
                  <c:v>102.5715242881072</c:v>
                </c:pt>
                <c:pt idx="12" formatCode="0.00">
                  <c:v>106.73462482946793</c:v>
                </c:pt>
                <c:pt idx="13" formatCode="0.00">
                  <c:v>32.755472340425527</c:v>
                </c:pt>
                <c:pt idx="14" formatCode="0.00">
                  <c:v>69.212256267409472</c:v>
                </c:pt>
                <c:pt idx="15" formatCode="0.00">
                  <c:v>69.07804627249358</c:v>
                </c:pt>
                <c:pt idx="16" formatCode="0.00">
                  <c:v>71.2</c:v>
                </c:pt>
                <c:pt idx="17" formatCode="0.00">
                  <c:v>71.117942122186491</c:v>
                </c:pt>
                <c:pt idx="18" formatCode="0.00">
                  <c:v>65.825314009661824</c:v>
                </c:pt>
                <c:pt idx="19" formatCode="0.00">
                  <c:v>39.998519855595667</c:v>
                </c:pt>
                <c:pt idx="20" formatCode="0.00">
                  <c:v>64.418666666666667</c:v>
                </c:pt>
                <c:pt idx="21" formatCode="0.00">
                  <c:v>53.557522123893804</c:v>
                </c:pt>
                <c:pt idx="22" formatCode="0.00">
                  <c:v>67.300671692940369</c:v>
                </c:pt>
                <c:pt idx="23" formatCode="0.00">
                  <c:v>95.584173441734407</c:v>
                </c:pt>
                <c:pt idx="24" formatCode="0.00">
                  <c:v>104.85367217280813</c:v>
                </c:pt>
                <c:pt idx="25" formatCode="0.00">
                  <c:v>102.19863117870722</c:v>
                </c:pt>
                <c:pt idx="26" formatCode="0.00">
                  <c:v>75.393353028064993</c:v>
                </c:pt>
                <c:pt idx="27" formatCode="0.00">
                  <c:v>109.06395604395605</c:v>
                </c:pt>
                <c:pt idx="28" formatCode="0.00">
                  <c:v>150.17449819494584</c:v>
                </c:pt>
                <c:pt idx="29" formatCode="0.00">
                  <c:v>72.616376531270149</c:v>
                </c:pt>
                <c:pt idx="30" formatCode="0.00">
                  <c:v>103.84902127659575</c:v>
                </c:pt>
                <c:pt idx="31" formatCode="0.00">
                  <c:v>118.48612413793103</c:v>
                </c:pt>
                <c:pt idx="32" formatCode="0.00">
                  <c:v>138.36582814445825</c:v>
                </c:pt>
                <c:pt idx="33" formatCode="0.00">
                  <c:v>139.81558695652171</c:v>
                </c:pt>
                <c:pt idx="34" formatCode="0.00">
                  <c:v>61.461874999999999</c:v>
                </c:pt>
                <c:pt idx="35" formatCode="0.00">
                  <c:v>83.934202049780382</c:v>
                </c:pt>
                <c:pt idx="36" formatCode="0.00">
                  <c:v>105.53772337821296</c:v>
                </c:pt>
                <c:pt idx="37" formatCode="0.00">
                  <c:v>72.965024154589372</c:v>
                </c:pt>
                <c:pt idx="38" formatCode="0.00">
                  <c:v>122.23624853458382</c:v>
                </c:pt>
                <c:pt idx="39" formatCode="0.00">
                  <c:v>165.01435094585781</c:v>
                </c:pt>
                <c:pt idx="40" formatCode="0.00">
                  <c:v>156.52880684376407</c:v>
                </c:pt>
                <c:pt idx="41" formatCode="0.00">
                  <c:v>182.20492715231788</c:v>
                </c:pt>
                <c:pt idx="42" formatCode="0.00">
                  <c:v>172.53638940234134</c:v>
                </c:pt>
                <c:pt idx="43" formatCode="0.00">
                  <c:v>269.0410062893082</c:v>
                </c:pt>
                <c:pt idx="44" formatCode="0.00">
                  <c:v>210.89626373626371</c:v>
                </c:pt>
                <c:pt idx="45" formatCode="0.00">
                  <c:v>185.94312138728327</c:v>
                </c:pt>
                <c:pt idx="46" formatCode="0.00">
                  <c:v>258.83075486381318</c:v>
                </c:pt>
                <c:pt idx="47" formatCode="0.00">
                  <c:v>230.24348115299335</c:v>
                </c:pt>
                <c:pt idx="48" formatCode="0.00">
                  <c:v>215.09944633317147</c:v>
                </c:pt>
                <c:pt idx="49" formatCode="0.00">
                  <c:v>183.1856569709127</c:v>
                </c:pt>
                <c:pt idx="50" formatCode="0.00">
                  <c:v>143.9120099875156</c:v>
                </c:pt>
                <c:pt idx="51" formatCode="0.00">
                  <c:v>115.0257490735839</c:v>
                </c:pt>
                <c:pt idx="52" formatCode="0.00">
                  <c:v>228.53096424702059</c:v>
                </c:pt>
                <c:pt idx="53" formatCode="0.00">
                  <c:v>175.9802480803308</c:v>
                </c:pt>
                <c:pt idx="54" formatCode="0.00">
                  <c:v>205.22805277044856</c:v>
                </c:pt>
                <c:pt idx="55" formatCode="0.00">
                  <c:v>211.13723991507433</c:v>
                </c:pt>
                <c:pt idx="56" formatCode="0.00">
                  <c:v>223.94856392294224</c:v>
                </c:pt>
                <c:pt idx="57" formatCode="0.00">
                  <c:v>296.32829268292687</c:v>
                </c:pt>
                <c:pt idx="58" formatCode="0.00">
                  <c:v>272.50370370370371</c:v>
                </c:pt>
                <c:pt idx="59" formatCode="0.00">
                  <c:v>354.75337737407102</c:v>
                </c:pt>
                <c:pt idx="60" formatCode="0.00">
                  <c:v>431.2567620674925</c:v>
                </c:pt>
                <c:pt idx="61" formatCode="0.00">
                  <c:v>409.85090143218196</c:v>
                </c:pt>
                <c:pt idx="62" formatCode="0.00">
                  <c:v>371.14233907524931</c:v>
                </c:pt>
                <c:pt idx="63" formatCode="0.00">
                  <c:v>377.48870017331024</c:v>
                </c:pt>
                <c:pt idx="64" formatCode="0.00">
                  <c:v>322.4209062821833</c:v>
                </c:pt>
                <c:pt idx="65" formatCode="0.00">
                  <c:v>324.45688513037345</c:v>
                </c:pt>
                <c:pt idx="66" formatCode="0.00">
                  <c:v>272.33576610720093</c:v>
                </c:pt>
                <c:pt idx="67" formatCode="0.00">
                  <c:v>257.36092882382633</c:v>
                </c:pt>
                <c:pt idx="68" formatCode="0.00">
                  <c:v>327.52326372776486</c:v>
                </c:pt>
                <c:pt idx="69" formatCode="0.00">
                  <c:v>314.45423728813552</c:v>
                </c:pt>
                <c:pt idx="70" formatCode="0.00">
                  <c:v>375.21355289421155</c:v>
                </c:pt>
                <c:pt idx="71" formatCode="0.00">
                  <c:v>417.49655172413793</c:v>
                </c:pt>
                <c:pt idx="72" formatCode="0.00">
                  <c:v>45.166869300911856</c:v>
                </c:pt>
                <c:pt idx="73" formatCode="0.00">
                  <c:v>49.42285714285714</c:v>
                </c:pt>
                <c:pt idx="74" formatCode="0.00">
                  <c:v>36.427841945288755</c:v>
                </c:pt>
                <c:pt idx="75" formatCode="0.00">
                  <c:v>34.918127208480563</c:v>
                </c:pt>
                <c:pt idx="76" formatCode="0.00">
                  <c:v>76.380590868397491</c:v>
                </c:pt>
                <c:pt idx="77" formatCode="0.00">
                  <c:v>95.109426433915218</c:v>
                </c:pt>
                <c:pt idx="78" formatCode="0.00">
                  <c:v>127.8273848827107</c:v>
                </c:pt>
                <c:pt idx="79" formatCode="0.00">
                  <c:v>95.656540240518055</c:v>
                </c:pt>
                <c:pt idx="80" formatCode="0.00">
                  <c:v>326.40433668167645</c:v>
                </c:pt>
                <c:pt idx="81" formatCode="0.00">
                  <c:v>304.9820760799484</c:v>
                </c:pt>
                <c:pt idx="82" formatCode="0.00">
                  <c:v>189.28469781397339</c:v>
                </c:pt>
                <c:pt idx="83" formatCode="0.00">
                  <c:v>226.17098087600249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8D-43E5-B8D6-62E55C0F0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853616"/>
        <c:axId val="245702752"/>
      </c:scatterChart>
      <c:valAx>
        <c:axId val="14485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45702752"/>
        <c:crosses val="autoZero"/>
        <c:crossBetween val="midCat"/>
      </c:valAx>
      <c:valAx>
        <c:axId val="24570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485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59840966624734E-2"/>
          <c:y val="0.19514280082578611"/>
          <c:w val="0.89156599431920325"/>
          <c:h val="0.69929461942257221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Tabelle1!$E$3</c:f>
              <c:strCache>
                <c:ptCount val="1"/>
                <c:pt idx="0">
                  <c:v>fStem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8740969615085036E-3"/>
                  <c:y val="0.224876832592457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Tabelle1!$A$4:$A$87</c:f>
              <c:numCache>
                <c:formatCode>0.0</c:formatCode>
                <c:ptCount val="84"/>
                <c:pt idx="0">
                  <c:v>150.1182451649602</c:v>
                </c:pt>
                <c:pt idx="1">
                  <c:v>143.28554467200951</c:v>
                </c:pt>
                <c:pt idx="2">
                  <c:v>91.112011002445016</c:v>
                </c:pt>
                <c:pt idx="3">
                  <c:v>141.69392033542979</c:v>
                </c:pt>
                <c:pt idx="4">
                  <c:v>149.36514144179378</c:v>
                </c:pt>
                <c:pt idx="5">
                  <c:v>235.28172348484853</c:v>
                </c:pt>
                <c:pt idx="6">
                  <c:v>253.37071330589848</c:v>
                </c:pt>
                <c:pt idx="7">
                  <c:v>204.26977107180025</c:v>
                </c:pt>
                <c:pt idx="8" formatCode="0.00">
                  <c:v>63.11025986525506</c:v>
                </c:pt>
                <c:pt idx="9" formatCode="0.00">
                  <c:v>61.290313075506447</c:v>
                </c:pt>
                <c:pt idx="10" formatCode="0.00">
                  <c:v>59.595957446808505</c:v>
                </c:pt>
                <c:pt idx="11" formatCode="0.00">
                  <c:v>88.788475711892787</c:v>
                </c:pt>
                <c:pt idx="12" formatCode="0.00">
                  <c:v>104.14537517053206</c:v>
                </c:pt>
                <c:pt idx="13" formatCode="0.00">
                  <c:v>44.684527659574464</c:v>
                </c:pt>
                <c:pt idx="14" formatCode="0.00">
                  <c:v>81.987743732590516</c:v>
                </c:pt>
                <c:pt idx="15" formatCode="0.00">
                  <c:v>76.961953727506426</c:v>
                </c:pt>
                <c:pt idx="16" formatCode="0.00">
                  <c:v>82.4</c:v>
                </c:pt>
                <c:pt idx="17" formatCode="0.00">
                  <c:v>73.442057877813497</c:v>
                </c:pt>
                <c:pt idx="18" formatCode="0.00">
                  <c:v>80.374685990338151</c:v>
                </c:pt>
                <c:pt idx="19" formatCode="0.00">
                  <c:v>55.721480144404339</c:v>
                </c:pt>
                <c:pt idx="20" formatCode="0.00">
                  <c:v>73.62133333333334</c:v>
                </c:pt>
                <c:pt idx="21" formatCode="0.00">
                  <c:v>67.482477876106188</c:v>
                </c:pt>
                <c:pt idx="22" formatCode="0.00">
                  <c:v>73.779328307059629</c:v>
                </c:pt>
                <c:pt idx="23" formatCode="0.00">
                  <c:v>97.855826558265576</c:v>
                </c:pt>
                <c:pt idx="24" formatCode="0.00">
                  <c:v>107.82632782719188</c:v>
                </c:pt>
                <c:pt idx="25" formatCode="0.00">
                  <c:v>114.56136882129276</c:v>
                </c:pt>
                <c:pt idx="26" formatCode="0.00">
                  <c:v>85.366646971935012</c:v>
                </c:pt>
                <c:pt idx="27" formatCode="0.00">
                  <c:v>107.57604395604396</c:v>
                </c:pt>
                <c:pt idx="28" formatCode="0.00">
                  <c:v>157.50550180505417</c:v>
                </c:pt>
                <c:pt idx="29" formatCode="0.00">
                  <c:v>75.383623468729851</c:v>
                </c:pt>
                <c:pt idx="30" formatCode="0.00">
                  <c:v>101.23097872340425</c:v>
                </c:pt>
                <c:pt idx="31" formatCode="0.00">
                  <c:v>123.83387586206898</c:v>
                </c:pt>
                <c:pt idx="32" formatCode="0.00">
                  <c:v>136.99417185554171</c:v>
                </c:pt>
                <c:pt idx="33" formatCode="0.00">
                  <c:v>126.22441304347826</c:v>
                </c:pt>
                <c:pt idx="34" formatCode="0.00">
                  <c:v>74.178124999999994</c:v>
                </c:pt>
                <c:pt idx="35" formatCode="0.00">
                  <c:v>92.185797950219623</c:v>
                </c:pt>
                <c:pt idx="36" formatCode="0.00">
                  <c:v>105.02227662178704</c:v>
                </c:pt>
                <c:pt idx="37" formatCode="0.00">
                  <c:v>81.154975845410632</c:v>
                </c:pt>
                <c:pt idx="38" formatCode="0.00">
                  <c:v>119.68375146541618</c:v>
                </c:pt>
                <c:pt idx="39" formatCode="0.00">
                  <c:v>153.98564905414221</c:v>
                </c:pt>
                <c:pt idx="40" formatCode="0.00">
                  <c:v>115.71119315623592</c:v>
                </c:pt>
                <c:pt idx="41" formatCode="0.00">
                  <c:v>163.43507284768211</c:v>
                </c:pt>
                <c:pt idx="42" formatCode="0.00">
                  <c:v>149.70361059765867</c:v>
                </c:pt>
                <c:pt idx="43" formatCode="0.00">
                  <c:v>197.19899371069187</c:v>
                </c:pt>
                <c:pt idx="44" formatCode="0.00">
                  <c:v>174.86373626373626</c:v>
                </c:pt>
                <c:pt idx="45" formatCode="0.00">
                  <c:v>175.49687861271678</c:v>
                </c:pt>
                <c:pt idx="46" formatCode="0.00">
                  <c:v>190.92924513618675</c:v>
                </c:pt>
                <c:pt idx="47" formatCode="0.00">
                  <c:v>180.59651884700668</c:v>
                </c:pt>
                <c:pt idx="48" formatCode="0.00">
                  <c:v>184.62055366682858</c:v>
                </c:pt>
                <c:pt idx="49" formatCode="0.00">
                  <c:v>128.21434302908725</c:v>
                </c:pt>
                <c:pt idx="50" formatCode="0.00">
                  <c:v>129.24799001248439</c:v>
                </c:pt>
                <c:pt idx="51" formatCode="0.00">
                  <c:v>96.134250926416087</c:v>
                </c:pt>
                <c:pt idx="52" formatCode="0.00">
                  <c:v>189.98903575297942</c:v>
                </c:pt>
                <c:pt idx="53" formatCode="0.00">
                  <c:v>146.45975191966923</c:v>
                </c:pt>
                <c:pt idx="54" formatCode="0.00">
                  <c:v>162.01194722955145</c:v>
                </c:pt>
                <c:pt idx="55" formatCode="0.00">
                  <c:v>172.8227600849257</c:v>
                </c:pt>
                <c:pt idx="56" formatCode="0.00">
                  <c:v>143.77143607705781</c:v>
                </c:pt>
                <c:pt idx="57" formatCode="0.00">
                  <c:v>174.79170731707319</c:v>
                </c:pt>
                <c:pt idx="58" formatCode="0.00">
                  <c:v>160.2962962962963</c:v>
                </c:pt>
                <c:pt idx="59" formatCode="0.00">
                  <c:v>190.08662262592895</c:v>
                </c:pt>
                <c:pt idx="60" formatCode="0.00">
                  <c:v>253.66323793250746</c:v>
                </c:pt>
                <c:pt idx="61" formatCode="0.00">
                  <c:v>264.42909856781802</c:v>
                </c:pt>
                <c:pt idx="62" formatCode="0.00">
                  <c:v>239.85766092475063</c:v>
                </c:pt>
                <c:pt idx="63" formatCode="0.00">
                  <c:v>225.03129982668978</c:v>
                </c:pt>
                <c:pt idx="64" formatCode="0.00">
                  <c:v>242.17909371781667</c:v>
                </c:pt>
                <c:pt idx="65" formatCode="0.00">
                  <c:v>166.90311486962651</c:v>
                </c:pt>
                <c:pt idx="66" formatCode="0.00">
                  <c:v>189.98423389279912</c:v>
                </c:pt>
                <c:pt idx="67" formatCode="0.00">
                  <c:v>180.63907117617362</c:v>
                </c:pt>
                <c:pt idx="68" formatCode="0.00">
                  <c:v>209.5567362722351</c:v>
                </c:pt>
                <c:pt idx="69" formatCode="0.00">
                  <c:v>215.62576271186441</c:v>
                </c:pt>
                <c:pt idx="70" formatCode="0.00">
                  <c:v>241.6264471057884</c:v>
                </c:pt>
                <c:pt idx="71" formatCode="0.00">
                  <c:v>294.70344827586206</c:v>
                </c:pt>
                <c:pt idx="72" formatCode="0.00">
                  <c:v>74.913130699088157</c:v>
                </c:pt>
                <c:pt idx="73" formatCode="0.00">
                  <c:v>69.617142857142852</c:v>
                </c:pt>
                <c:pt idx="74" formatCode="0.00">
                  <c:v>51.052158054711249</c:v>
                </c:pt>
                <c:pt idx="75" formatCode="0.00">
                  <c:v>49.361872791519431</c:v>
                </c:pt>
                <c:pt idx="76" formatCode="0.00">
                  <c:v>92.899409131602511</c:v>
                </c:pt>
                <c:pt idx="77" formatCode="0.00">
                  <c:v>104.57057356608478</c:v>
                </c:pt>
                <c:pt idx="78" formatCode="0.00">
                  <c:v>148.21261511728932</c:v>
                </c:pt>
                <c:pt idx="79" formatCode="0.00">
                  <c:v>111.98345975948196</c:v>
                </c:pt>
                <c:pt idx="80" formatCode="0.00">
                  <c:v>215.47566331832351</c:v>
                </c:pt>
                <c:pt idx="81" formatCode="0.00">
                  <c:v>209.17792392005157</c:v>
                </c:pt>
                <c:pt idx="82" formatCode="0.00">
                  <c:v>145.51530218602656</c:v>
                </c:pt>
                <c:pt idx="83" formatCode="0.00">
                  <c:v>164.26901912399757</c:v>
                </c:pt>
              </c:numCache>
            </c:numRef>
          </c:xVal>
          <c:yVal>
            <c:numRef>
              <c:f>Tabelle1!$E$4:$E$87</c:f>
              <c:numCache>
                <c:formatCode>0.00</c:formatCode>
                <c:ptCount val="84"/>
                <c:pt idx="0">
                  <c:v>0.54010238907849828</c:v>
                </c:pt>
                <c:pt idx="1">
                  <c:v>0.53428317008014248</c:v>
                </c:pt>
                <c:pt idx="2">
                  <c:v>0.48777506112469421</c:v>
                </c:pt>
                <c:pt idx="3">
                  <c:v>0.50224618149146449</c:v>
                </c:pt>
                <c:pt idx="4">
                  <c:v>0.63081736409855305</c:v>
                </c:pt>
                <c:pt idx="5">
                  <c:v>0.63906926406926412</c:v>
                </c:pt>
                <c:pt idx="6">
                  <c:v>0.62551440329218111</c:v>
                </c:pt>
                <c:pt idx="7">
                  <c:v>0.61082206035379805</c:v>
                </c:pt>
                <c:pt idx="8">
                  <c:v>0.4523580365736285</c:v>
                </c:pt>
                <c:pt idx="9">
                  <c:v>0.45119705340699817</c:v>
                </c:pt>
                <c:pt idx="10">
                  <c:v>0.41755319148936171</c:v>
                </c:pt>
                <c:pt idx="11">
                  <c:v>0.53601340033500844</c:v>
                </c:pt>
                <c:pt idx="12">
                  <c:v>0.50613915416098221</c:v>
                </c:pt>
                <c:pt idx="13">
                  <c:v>0.42297872340425524</c:v>
                </c:pt>
                <c:pt idx="14">
                  <c:v>0.45775301764159709</c:v>
                </c:pt>
                <c:pt idx="15">
                  <c:v>0.47300771208226217</c:v>
                </c:pt>
                <c:pt idx="16">
                  <c:v>0.46354166666666663</c:v>
                </c:pt>
                <c:pt idx="17">
                  <c:v>0.49196141479099675</c:v>
                </c:pt>
                <c:pt idx="18">
                  <c:v>0.45024154589371979</c:v>
                </c:pt>
                <c:pt idx="19">
                  <c:v>0.41787003610108303</c:v>
                </c:pt>
                <c:pt idx="20">
                  <c:v>0.46666666666666662</c:v>
                </c:pt>
                <c:pt idx="21">
                  <c:v>0.44247787610619471</c:v>
                </c:pt>
                <c:pt idx="22">
                  <c:v>0.47703906785469502</c:v>
                </c:pt>
                <c:pt idx="23">
                  <c:v>0.49412827461607944</c:v>
                </c:pt>
                <c:pt idx="24">
                  <c:v>0.49301143583227447</c:v>
                </c:pt>
                <c:pt idx="25">
                  <c:v>0.47148288973384028</c:v>
                </c:pt>
                <c:pt idx="26">
                  <c:v>0.46898079763663225</c:v>
                </c:pt>
                <c:pt idx="27">
                  <c:v>0.50343406593406592</c:v>
                </c:pt>
                <c:pt idx="28">
                  <c:v>0.48808664259927792</c:v>
                </c:pt>
                <c:pt idx="29">
                  <c:v>0.49065119277885233</c:v>
                </c:pt>
                <c:pt idx="30">
                  <c:v>0.50638297872340432</c:v>
                </c:pt>
                <c:pt idx="31">
                  <c:v>0.48896551724137932</c:v>
                </c:pt>
                <c:pt idx="32">
                  <c:v>0.50249066002490661</c:v>
                </c:pt>
                <c:pt idx="33">
                  <c:v>0.52554347826086956</c:v>
                </c:pt>
                <c:pt idx="34">
                  <c:v>0.45312500000000006</c:v>
                </c:pt>
                <c:pt idx="35">
                  <c:v>0.47657393850658858</c:v>
                </c:pt>
                <c:pt idx="36">
                  <c:v>0.50122399020807828</c:v>
                </c:pt>
                <c:pt idx="37">
                  <c:v>0.47342995169082125</c:v>
                </c:pt>
                <c:pt idx="38">
                  <c:v>0.50527549824150053</c:v>
                </c:pt>
                <c:pt idx="39">
                  <c:v>0.51728636660143512</c:v>
                </c:pt>
                <c:pt idx="40">
                  <c:v>0.57496623142728498</c:v>
                </c:pt>
                <c:pt idx="41">
                  <c:v>0.52715231788079475</c:v>
                </c:pt>
                <c:pt idx="42">
                  <c:v>0.53542821934688845</c:v>
                </c:pt>
                <c:pt idx="43">
                  <c:v>0.57704402515723263</c:v>
                </c:pt>
                <c:pt idx="44">
                  <c:v>0.54670329670329665</c:v>
                </c:pt>
                <c:pt idx="45">
                  <c:v>0.51445086705202314</c:v>
                </c:pt>
                <c:pt idx="46">
                  <c:v>0.57548638132295715</c:v>
                </c:pt>
                <c:pt idx="47">
                  <c:v>0.56042128603104213</c:v>
                </c:pt>
                <c:pt idx="48">
                  <c:v>0.53812530354541044</c:v>
                </c:pt>
                <c:pt idx="49">
                  <c:v>0.58826479438314938</c:v>
                </c:pt>
                <c:pt idx="50">
                  <c:v>0.52684144818976286</c:v>
                </c:pt>
                <c:pt idx="51">
                  <c:v>0.54473266278454213</c:v>
                </c:pt>
                <c:pt idx="52">
                  <c:v>0.54604550379198269</c:v>
                </c:pt>
                <c:pt idx="53">
                  <c:v>0.54577672770230357</c:v>
                </c:pt>
                <c:pt idx="54">
                  <c:v>0.55883905013192614</c:v>
                </c:pt>
                <c:pt idx="55">
                  <c:v>0.54989384288747345</c:v>
                </c:pt>
                <c:pt idx="56">
                  <c:v>0.60901926444833632</c:v>
                </c:pt>
                <c:pt idx="57">
                  <c:v>0.62898686679174487</c:v>
                </c:pt>
                <c:pt idx="58">
                  <c:v>0.62962962962962965</c:v>
                </c:pt>
                <c:pt idx="59">
                  <c:v>0.6511147811725847</c:v>
                </c:pt>
                <c:pt idx="60">
                  <c:v>0.6296454506621102</c:v>
                </c:pt>
                <c:pt idx="61">
                  <c:v>0.60783487784330248</c:v>
                </c:pt>
                <c:pt idx="62">
                  <c:v>0.60743427017225748</c:v>
                </c:pt>
                <c:pt idx="63">
                  <c:v>0.62651646447140386</c:v>
                </c:pt>
                <c:pt idx="64">
                  <c:v>0.57106076210092693</c:v>
                </c:pt>
                <c:pt idx="65">
                  <c:v>0.66032417195207893</c:v>
                </c:pt>
                <c:pt idx="66">
                  <c:v>0.58906334596643206</c:v>
                </c:pt>
                <c:pt idx="67">
                  <c:v>0.5875820292781424</c:v>
                </c:pt>
                <c:pt idx="68">
                  <c:v>0.60982211910286155</c:v>
                </c:pt>
                <c:pt idx="69">
                  <c:v>0.59322033898305082</c:v>
                </c:pt>
                <c:pt idx="70">
                  <c:v>0.60828343313373257</c:v>
                </c:pt>
                <c:pt idx="71">
                  <c:v>0.58620689655172409</c:v>
                </c:pt>
                <c:pt idx="72">
                  <c:v>0.37613981762917931</c:v>
                </c:pt>
                <c:pt idx="73">
                  <c:v>0.41517857142857145</c:v>
                </c:pt>
                <c:pt idx="74">
                  <c:v>0.41641337386018235</c:v>
                </c:pt>
                <c:pt idx="75">
                  <c:v>0.41431095406360419</c:v>
                </c:pt>
                <c:pt idx="76">
                  <c:v>0.45120859444941808</c:v>
                </c:pt>
                <c:pt idx="77">
                  <c:v>0.47630922693266836</c:v>
                </c:pt>
                <c:pt idx="78">
                  <c:v>0.46307558644656821</c:v>
                </c:pt>
                <c:pt idx="79">
                  <c:v>0.46068455134135067</c:v>
                </c:pt>
                <c:pt idx="80">
                  <c:v>0.60235538621406304</c:v>
                </c:pt>
                <c:pt idx="81">
                  <c:v>0.59316569954867826</c:v>
                </c:pt>
                <c:pt idx="82">
                  <c:v>0.56536648092584652</c:v>
                </c:pt>
                <c:pt idx="83">
                  <c:v>0.57927205428747686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FC-49CF-8AC2-A9A340531BDC}"/>
            </c:ext>
          </c:extLst>
        </c:ser>
        <c:ser>
          <c:idx val="1"/>
          <c:order val="1"/>
          <c:tx>
            <c:v>Pred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Tabelle1!$A$4:$A$87</c:f>
              <c:numCache>
                <c:formatCode>0.0</c:formatCode>
                <c:ptCount val="84"/>
                <c:pt idx="0">
                  <c:v>150.1182451649602</c:v>
                </c:pt>
                <c:pt idx="1">
                  <c:v>143.28554467200951</c:v>
                </c:pt>
                <c:pt idx="2">
                  <c:v>91.112011002445016</c:v>
                </c:pt>
                <c:pt idx="3">
                  <c:v>141.69392033542979</c:v>
                </c:pt>
                <c:pt idx="4">
                  <c:v>149.36514144179378</c:v>
                </c:pt>
                <c:pt idx="5">
                  <c:v>235.28172348484853</c:v>
                </c:pt>
                <c:pt idx="6">
                  <c:v>253.37071330589848</c:v>
                </c:pt>
                <c:pt idx="7">
                  <c:v>204.26977107180025</c:v>
                </c:pt>
                <c:pt idx="8" formatCode="0.00">
                  <c:v>63.11025986525506</c:v>
                </c:pt>
                <c:pt idx="9" formatCode="0.00">
                  <c:v>61.290313075506447</c:v>
                </c:pt>
                <c:pt idx="10" formatCode="0.00">
                  <c:v>59.595957446808505</c:v>
                </c:pt>
                <c:pt idx="11" formatCode="0.00">
                  <c:v>88.788475711892787</c:v>
                </c:pt>
                <c:pt idx="12" formatCode="0.00">
                  <c:v>104.14537517053206</c:v>
                </c:pt>
                <c:pt idx="13" formatCode="0.00">
                  <c:v>44.684527659574464</c:v>
                </c:pt>
                <c:pt idx="14" formatCode="0.00">
                  <c:v>81.987743732590516</c:v>
                </c:pt>
                <c:pt idx="15" formatCode="0.00">
                  <c:v>76.961953727506426</c:v>
                </c:pt>
                <c:pt idx="16" formatCode="0.00">
                  <c:v>82.4</c:v>
                </c:pt>
                <c:pt idx="17" formatCode="0.00">
                  <c:v>73.442057877813497</c:v>
                </c:pt>
                <c:pt idx="18" formatCode="0.00">
                  <c:v>80.374685990338151</c:v>
                </c:pt>
                <c:pt idx="19" formatCode="0.00">
                  <c:v>55.721480144404339</c:v>
                </c:pt>
                <c:pt idx="20" formatCode="0.00">
                  <c:v>73.62133333333334</c:v>
                </c:pt>
                <c:pt idx="21" formatCode="0.00">
                  <c:v>67.482477876106188</c:v>
                </c:pt>
                <c:pt idx="22" formatCode="0.00">
                  <c:v>73.779328307059629</c:v>
                </c:pt>
                <c:pt idx="23" formatCode="0.00">
                  <c:v>97.855826558265576</c:v>
                </c:pt>
                <c:pt idx="24" formatCode="0.00">
                  <c:v>107.82632782719188</c:v>
                </c:pt>
                <c:pt idx="25" formatCode="0.00">
                  <c:v>114.56136882129276</c:v>
                </c:pt>
                <c:pt idx="26" formatCode="0.00">
                  <c:v>85.366646971935012</c:v>
                </c:pt>
                <c:pt idx="27" formatCode="0.00">
                  <c:v>107.57604395604396</c:v>
                </c:pt>
                <c:pt idx="28" formatCode="0.00">
                  <c:v>157.50550180505417</c:v>
                </c:pt>
                <c:pt idx="29" formatCode="0.00">
                  <c:v>75.383623468729851</c:v>
                </c:pt>
                <c:pt idx="30" formatCode="0.00">
                  <c:v>101.23097872340425</c:v>
                </c:pt>
                <c:pt idx="31" formatCode="0.00">
                  <c:v>123.83387586206898</c:v>
                </c:pt>
                <c:pt idx="32" formatCode="0.00">
                  <c:v>136.99417185554171</c:v>
                </c:pt>
                <c:pt idx="33" formatCode="0.00">
                  <c:v>126.22441304347826</c:v>
                </c:pt>
                <c:pt idx="34" formatCode="0.00">
                  <c:v>74.178124999999994</c:v>
                </c:pt>
                <c:pt idx="35" formatCode="0.00">
                  <c:v>92.185797950219623</c:v>
                </c:pt>
                <c:pt idx="36" formatCode="0.00">
                  <c:v>105.02227662178704</c:v>
                </c:pt>
                <c:pt idx="37" formatCode="0.00">
                  <c:v>81.154975845410632</c:v>
                </c:pt>
                <c:pt idx="38" formatCode="0.00">
                  <c:v>119.68375146541618</c:v>
                </c:pt>
                <c:pt idx="39" formatCode="0.00">
                  <c:v>153.98564905414221</c:v>
                </c:pt>
                <c:pt idx="40" formatCode="0.00">
                  <c:v>115.71119315623592</c:v>
                </c:pt>
                <c:pt idx="41" formatCode="0.00">
                  <c:v>163.43507284768211</c:v>
                </c:pt>
                <c:pt idx="42" formatCode="0.00">
                  <c:v>149.70361059765867</c:v>
                </c:pt>
                <c:pt idx="43" formatCode="0.00">
                  <c:v>197.19899371069187</c:v>
                </c:pt>
                <c:pt idx="44" formatCode="0.00">
                  <c:v>174.86373626373626</c:v>
                </c:pt>
                <c:pt idx="45" formatCode="0.00">
                  <c:v>175.49687861271678</c:v>
                </c:pt>
                <c:pt idx="46" formatCode="0.00">
                  <c:v>190.92924513618675</c:v>
                </c:pt>
                <c:pt idx="47" formatCode="0.00">
                  <c:v>180.59651884700668</c:v>
                </c:pt>
                <c:pt idx="48" formatCode="0.00">
                  <c:v>184.62055366682858</c:v>
                </c:pt>
                <c:pt idx="49" formatCode="0.00">
                  <c:v>128.21434302908725</c:v>
                </c:pt>
                <c:pt idx="50" formatCode="0.00">
                  <c:v>129.24799001248439</c:v>
                </c:pt>
                <c:pt idx="51" formatCode="0.00">
                  <c:v>96.134250926416087</c:v>
                </c:pt>
                <c:pt idx="52" formatCode="0.00">
                  <c:v>189.98903575297942</c:v>
                </c:pt>
                <c:pt idx="53" formatCode="0.00">
                  <c:v>146.45975191966923</c:v>
                </c:pt>
                <c:pt idx="54" formatCode="0.00">
                  <c:v>162.01194722955145</c:v>
                </c:pt>
                <c:pt idx="55" formatCode="0.00">
                  <c:v>172.8227600849257</c:v>
                </c:pt>
                <c:pt idx="56" formatCode="0.00">
                  <c:v>143.77143607705781</c:v>
                </c:pt>
                <c:pt idx="57" formatCode="0.00">
                  <c:v>174.79170731707319</c:v>
                </c:pt>
                <c:pt idx="58" formatCode="0.00">
                  <c:v>160.2962962962963</c:v>
                </c:pt>
                <c:pt idx="59" formatCode="0.00">
                  <c:v>190.08662262592895</c:v>
                </c:pt>
                <c:pt idx="60" formatCode="0.00">
                  <c:v>253.66323793250746</c:v>
                </c:pt>
                <c:pt idx="61" formatCode="0.00">
                  <c:v>264.42909856781802</c:v>
                </c:pt>
                <c:pt idx="62" formatCode="0.00">
                  <c:v>239.85766092475063</c:v>
                </c:pt>
                <c:pt idx="63" formatCode="0.00">
                  <c:v>225.03129982668978</c:v>
                </c:pt>
                <c:pt idx="64" formatCode="0.00">
                  <c:v>242.17909371781667</c:v>
                </c:pt>
                <c:pt idx="65" formatCode="0.00">
                  <c:v>166.90311486962651</c:v>
                </c:pt>
                <c:pt idx="66" formatCode="0.00">
                  <c:v>189.98423389279912</c:v>
                </c:pt>
                <c:pt idx="67" formatCode="0.00">
                  <c:v>180.63907117617362</c:v>
                </c:pt>
                <c:pt idx="68" formatCode="0.00">
                  <c:v>209.5567362722351</c:v>
                </c:pt>
                <c:pt idx="69" formatCode="0.00">
                  <c:v>215.62576271186441</c:v>
                </c:pt>
                <c:pt idx="70" formatCode="0.00">
                  <c:v>241.6264471057884</c:v>
                </c:pt>
                <c:pt idx="71" formatCode="0.00">
                  <c:v>294.70344827586206</c:v>
                </c:pt>
                <c:pt idx="72" formatCode="0.00">
                  <c:v>74.913130699088157</c:v>
                </c:pt>
                <c:pt idx="73" formatCode="0.00">
                  <c:v>69.617142857142852</c:v>
                </c:pt>
                <c:pt idx="74" formatCode="0.00">
                  <c:v>51.052158054711249</c:v>
                </c:pt>
                <c:pt idx="75" formatCode="0.00">
                  <c:v>49.361872791519431</c:v>
                </c:pt>
                <c:pt idx="76" formatCode="0.00">
                  <c:v>92.899409131602511</c:v>
                </c:pt>
                <c:pt idx="77" formatCode="0.00">
                  <c:v>104.57057356608478</c:v>
                </c:pt>
                <c:pt idx="78" formatCode="0.00">
                  <c:v>148.21261511728932</c:v>
                </c:pt>
                <c:pt idx="79" formatCode="0.00">
                  <c:v>111.98345975948196</c:v>
                </c:pt>
                <c:pt idx="80" formatCode="0.00">
                  <c:v>215.47566331832351</c:v>
                </c:pt>
                <c:pt idx="81" formatCode="0.00">
                  <c:v>209.17792392005157</c:v>
                </c:pt>
                <c:pt idx="82" formatCode="0.00">
                  <c:v>145.51530218602656</c:v>
                </c:pt>
                <c:pt idx="83" formatCode="0.00">
                  <c:v>164.26901912399757</c:v>
                </c:pt>
              </c:numCache>
            </c:numRef>
          </c:xVal>
          <c:yVal>
            <c:numRef>
              <c:f>Tabelle1!$F$4:$F$87</c:f>
              <c:numCache>
                <c:formatCode>0.00</c:formatCode>
                <c:ptCount val="84"/>
                <c:pt idx="0">
                  <c:v>0.63499154048347928</c:v>
                </c:pt>
                <c:pt idx="1">
                  <c:v>0.63001066923752191</c:v>
                </c:pt>
                <c:pt idx="2">
                  <c:v>0.58029820481160299</c:v>
                </c:pt>
                <c:pt idx="3">
                  <c:v>0.62881214804884711</c:v>
                </c:pt>
                <c:pt idx="4">
                  <c:v>0.63445515485820991</c:v>
                </c:pt>
                <c:pt idx="5">
                  <c:v>0.68143989901828217</c:v>
                </c:pt>
                <c:pt idx="6">
                  <c:v>0.68879013329953687</c:v>
                </c:pt>
                <c:pt idx="7">
                  <c:v>0.66716256146643804</c:v>
                </c:pt>
                <c:pt idx="8">
                  <c:v>0.53869317589305676</c:v>
                </c:pt>
                <c:pt idx="9">
                  <c:v>0.5353465577131461</c:v>
                </c:pt>
                <c:pt idx="10">
                  <c:v>0.5321373338287283</c:v>
                </c:pt>
                <c:pt idx="11">
                  <c:v>0.57740132519156406</c:v>
                </c:pt>
                <c:pt idx="12">
                  <c:v>0.59519866047439096</c:v>
                </c:pt>
                <c:pt idx="13">
                  <c:v>0.49906625001356797</c:v>
                </c:pt>
                <c:pt idx="14">
                  <c:v>0.56843247212318171</c:v>
                </c:pt>
                <c:pt idx="15">
                  <c:v>0.56128026860668223</c:v>
                </c:pt>
                <c:pt idx="16">
                  <c:v>0.56899837962640709</c:v>
                </c:pt>
                <c:pt idx="17">
                  <c:v>0.55597067650476695</c:v>
                </c:pt>
                <c:pt idx="18">
                  <c:v>0.56618878218886892</c:v>
                </c:pt>
                <c:pt idx="19">
                  <c:v>0.52443169334810924</c:v>
                </c:pt>
                <c:pt idx="20">
                  <c:v>0.55624752395790034</c:v>
                </c:pt>
                <c:pt idx="21">
                  <c:v>0.54634055307012785</c:v>
                </c:pt>
                <c:pt idx="22">
                  <c:v>0.5564909217241929</c:v>
                </c:pt>
                <c:pt idx="23">
                  <c:v>0.58827630071836468</c:v>
                </c:pt>
                <c:pt idx="24">
                  <c:v>0.59904235095166292</c:v>
                </c:pt>
                <c:pt idx="25">
                  <c:v>0.60571780740632142</c:v>
                </c:pt>
                <c:pt idx="26">
                  <c:v>0.57298391285246064</c:v>
                </c:pt>
                <c:pt idx="27">
                  <c:v>0.59878556433971886</c:v>
                </c:pt>
                <c:pt idx="28">
                  <c:v>0.64009769994965859</c:v>
                </c:pt>
                <c:pt idx="29">
                  <c:v>0.55893177815387118</c:v>
                </c:pt>
                <c:pt idx="30">
                  <c:v>0.59204907780250027</c:v>
                </c:pt>
                <c:pt idx="31">
                  <c:v>0.61423501432445826</c:v>
                </c:pt>
                <c:pt idx="32">
                  <c:v>0.62518337310207772</c:v>
                </c:pt>
                <c:pt idx="33">
                  <c:v>0.61631698088570941</c:v>
                </c:pt>
                <c:pt idx="34">
                  <c:v>0.55710285366502377</c:v>
                </c:pt>
                <c:pt idx="35">
                  <c:v>0.5816102739957012</c:v>
                </c:pt>
                <c:pt idx="36">
                  <c:v>0.59612760665438924</c:v>
                </c:pt>
                <c:pt idx="37">
                  <c:v>0.56728004278593269</c:v>
                </c:pt>
                <c:pt idx="38">
                  <c:v>0.6105129173433308</c:v>
                </c:pt>
                <c:pt idx="39">
                  <c:v>0.63769917032831291</c:v>
                </c:pt>
                <c:pt idx="40">
                  <c:v>0.60681440329777603</c:v>
                </c:pt>
                <c:pt idx="41">
                  <c:v>0.64400451879888121</c:v>
                </c:pt>
                <c:pt idx="42">
                  <c:v>0.63469659908903453</c:v>
                </c:pt>
                <c:pt idx="43">
                  <c:v>0.66355444548675535</c:v>
                </c:pt>
                <c:pt idx="44">
                  <c:v>0.65110040281346415</c:v>
                </c:pt>
                <c:pt idx="45">
                  <c:v>0.6514779868537508</c:v>
                </c:pt>
                <c:pt idx="46">
                  <c:v>0.66022830310764158</c:v>
                </c:pt>
                <c:pt idx="47">
                  <c:v>0.65446371921012658</c:v>
                </c:pt>
                <c:pt idx="48">
                  <c:v>0.65675254154510787</c:v>
                </c:pt>
                <c:pt idx="49">
                  <c:v>0.61801703493412874</c:v>
                </c:pt>
                <c:pt idx="50">
                  <c:v>0.61888860715421812</c:v>
                </c:pt>
                <c:pt idx="51">
                  <c:v>0.58629730999531393</c:v>
                </c:pt>
                <c:pt idx="52">
                  <c:v>0.65971871337231969</c:v>
                </c:pt>
                <c:pt idx="53">
                  <c:v>0.63235699761760467</c:v>
                </c:pt>
                <c:pt idx="54">
                  <c:v>0.64308165412604756</c:v>
                </c:pt>
                <c:pt idx="55">
                  <c:v>0.64987255413330991</c:v>
                </c:pt>
                <c:pt idx="56">
                  <c:v>0.6303735871844699</c:v>
                </c:pt>
                <c:pt idx="57">
                  <c:v>0.65105734861870945</c:v>
                </c:pt>
                <c:pt idx="58">
                  <c:v>0.64195682128527198</c:v>
                </c:pt>
                <c:pt idx="59">
                  <c:v>0.65977173946968692</c:v>
                </c:pt>
                <c:pt idx="60">
                  <c:v>0.68890389865193491</c:v>
                </c:pt>
                <c:pt idx="61">
                  <c:v>0.69298677446189183</c:v>
                </c:pt>
                <c:pt idx="62">
                  <c:v>0.68336024185225097</c:v>
                </c:pt>
                <c:pt idx="63">
                  <c:v>0.67697543343212274</c:v>
                </c:pt>
                <c:pt idx="64">
                  <c:v>0.6843181611217195</c:v>
                </c:pt>
                <c:pt idx="65">
                  <c:v>0.64621585984658347</c:v>
                </c:pt>
                <c:pt idx="66">
                  <c:v>0.65971610336354369</c:v>
                </c:pt>
                <c:pt idx="67">
                  <c:v>0.65448822634802739</c:v>
                </c:pt>
                <c:pt idx="68">
                  <c:v>0.6697675507888351</c:v>
                </c:pt>
                <c:pt idx="69">
                  <c:v>0.6726657710934365</c:v>
                </c:pt>
                <c:pt idx="70">
                  <c:v>0.68409109285462566</c:v>
                </c:pt>
                <c:pt idx="71">
                  <c:v>0.7034920296541638</c:v>
                </c:pt>
                <c:pt idx="72">
                  <c:v>0.558221660049392</c:v>
                </c:pt>
                <c:pt idx="73">
                  <c:v>0.54988880262861128</c:v>
                </c:pt>
                <c:pt idx="74">
                  <c:v>0.51438263899317793</c:v>
                </c:pt>
                <c:pt idx="75">
                  <c:v>0.51051306609090763</c:v>
                </c:pt>
                <c:pt idx="76">
                  <c:v>0.58247318665255121</c:v>
                </c:pt>
                <c:pt idx="77">
                  <c:v>0.59565015312564129</c:v>
                </c:pt>
                <c:pt idx="78">
                  <c:v>0.63362837547535134</c:v>
                </c:pt>
                <c:pt idx="79">
                  <c:v>0.6032147287931181</c:v>
                </c:pt>
                <c:pt idx="80">
                  <c:v>0.67259523651249764</c:v>
                </c:pt>
                <c:pt idx="81">
                  <c:v>0.669583440373128</c:v>
                </c:pt>
                <c:pt idx="82">
                  <c:v>0.6316648768974884</c:v>
                </c:pt>
                <c:pt idx="83">
                  <c:v>0.64454109546038896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FC-49CF-8AC2-A9A340531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081616"/>
        <c:axId val="383506912"/>
      </c:scatterChart>
      <c:valAx>
        <c:axId val="38708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83506912"/>
        <c:crosses val="autoZero"/>
        <c:crossBetween val="midCat"/>
      </c:valAx>
      <c:valAx>
        <c:axId val="38350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8708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57151</xdr:colOff>
      <xdr:row>3</xdr:row>
      <xdr:rowOff>95250</xdr:rowOff>
    </xdr:from>
    <xdr:to>
      <xdr:col>27</xdr:col>
      <xdr:colOff>476251</xdr:colOff>
      <xdr:row>29</xdr:row>
      <xdr:rowOff>171449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DAADE82-C283-4EF2-9354-D993C27A1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738187</xdr:colOff>
      <xdr:row>54</xdr:row>
      <xdr:rowOff>119062</xdr:rowOff>
    </xdr:from>
    <xdr:to>
      <xdr:col>24</xdr:col>
      <xdr:colOff>738187</xdr:colOff>
      <xdr:row>69</xdr:row>
      <xdr:rowOff>4762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30EF313-65B7-4DD7-9D11-455AB213A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590550</xdr:colOff>
      <xdr:row>4</xdr:row>
      <xdr:rowOff>161926</xdr:rowOff>
    </xdr:from>
    <xdr:to>
      <xdr:col>17</xdr:col>
      <xdr:colOff>171450</xdr:colOff>
      <xdr:row>30</xdr:row>
      <xdr:rowOff>28576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BCF032A9-1874-4EED-BD30-5A108731B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BD95-4006-42D5-AB55-C5273C50C76E}">
  <dimension ref="A1:I87"/>
  <sheetViews>
    <sheetView tabSelected="1" workbookViewId="0">
      <selection activeCell="I4" sqref="I4:I87"/>
    </sheetView>
  </sheetViews>
  <sheetFormatPr baseColWidth="10" defaultRowHeight="15" x14ac:dyDescent="0.25"/>
  <cols>
    <col min="6" max="6" width="15.5703125" bestFit="1" customWidth="1"/>
  </cols>
  <sheetData>
    <row r="1" spans="1:9" x14ac:dyDescent="0.25">
      <c r="F1" t="s">
        <v>7</v>
      </c>
      <c r="G1" t="s">
        <v>8</v>
      </c>
    </row>
    <row r="2" spans="1:9" x14ac:dyDescent="0.25">
      <c r="F2">
        <v>-2.13</v>
      </c>
      <c r="G2">
        <v>1.46</v>
      </c>
    </row>
    <row r="3" spans="1:9" x14ac:dyDescent="0.25">
      <c r="A3" s="1" t="s">
        <v>0</v>
      </c>
      <c r="B3" s="1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9</v>
      </c>
    </row>
    <row r="4" spans="1:9" x14ac:dyDescent="0.25">
      <c r="A4" s="2">
        <v>150.1182451649602</v>
      </c>
      <c r="B4" s="2">
        <v>176.29842150170651</v>
      </c>
      <c r="C4" s="5">
        <f>LN(A4)</f>
        <v>5.0114232846498705</v>
      </c>
      <c r="D4" s="5">
        <f>LN(B4)</f>
        <v>5.1721781358850496</v>
      </c>
      <c r="E4" s="5">
        <f>B4/(A4+B4)</f>
        <v>0.54010238907849828</v>
      </c>
      <c r="F4" s="5">
        <f t="shared" ref="F4:F35" si="0">1 - 1/(1 + EXP(g_) * A4^(h_-1) * h_)</f>
        <v>0.63499154048347928</v>
      </c>
      <c r="G4" s="4">
        <f>A4/(A4+B4)</f>
        <v>0.45989761092150166</v>
      </c>
      <c r="H4" s="5">
        <f t="shared" ref="H4:H35" si="1" xml:space="preserve"> 1/(1 + EXP(g_) * A4^(h_-1) * h_)</f>
        <v>0.36500845951652072</v>
      </c>
      <c r="I4">
        <f>1.46*C4-2.13</f>
        <v>5.1866779955888109</v>
      </c>
    </row>
    <row r="5" spans="1:9" x14ac:dyDescent="0.25">
      <c r="A5" s="2">
        <v>143.28554467200951</v>
      </c>
      <c r="B5" s="2">
        <v>164.38112199465721</v>
      </c>
      <c r="C5" s="5">
        <f t="shared" ref="C5:C68" si="2">LN(A5)</f>
        <v>4.964839455161222</v>
      </c>
      <c r="D5" s="5">
        <f t="shared" ref="D5:D68" si="3">LN(B5)</f>
        <v>5.102187646312446</v>
      </c>
      <c r="E5" s="5">
        <f t="shared" ref="E5:E68" si="4">B5/(A5+B5)</f>
        <v>0.53428317008014248</v>
      </c>
      <c r="F5" s="5">
        <f t="shared" si="0"/>
        <v>0.63001066923752191</v>
      </c>
      <c r="G5" s="4">
        <f t="shared" ref="G5:G68" si="5">A5/(A5+B5)</f>
        <v>0.46571682991985747</v>
      </c>
      <c r="H5" s="5">
        <f t="shared" si="1"/>
        <v>0.36998933076247809</v>
      </c>
      <c r="I5">
        <f t="shared" ref="I5:I68" si="6">1.46*C5-2.13</f>
        <v>5.1186656045353844</v>
      </c>
    </row>
    <row r="6" spans="1:9" x14ac:dyDescent="0.25">
      <c r="A6" s="2">
        <v>91.112011002445016</v>
      </c>
      <c r="B6" s="2">
        <v>86.762988997554984</v>
      </c>
      <c r="C6" s="5">
        <f t="shared" si="2"/>
        <v>4.5120896397294077</v>
      </c>
      <c r="D6" s="5">
        <f t="shared" si="3"/>
        <v>4.4631801366971322</v>
      </c>
      <c r="E6" s="5">
        <f t="shared" si="4"/>
        <v>0.48777506112469421</v>
      </c>
      <c r="F6" s="5">
        <f t="shared" si="0"/>
        <v>0.58029820481160299</v>
      </c>
      <c r="G6" s="4">
        <f t="shared" si="5"/>
        <v>0.51222493887530574</v>
      </c>
      <c r="H6" s="5">
        <f t="shared" si="1"/>
        <v>0.41970179518839706</v>
      </c>
      <c r="I6">
        <f t="shared" si="6"/>
        <v>4.4576508740049352</v>
      </c>
    </row>
    <row r="7" spans="1:9" x14ac:dyDescent="0.25">
      <c r="A7" s="2">
        <v>141.69392033542979</v>
      </c>
      <c r="B7" s="2">
        <v>142.97274633123686</v>
      </c>
      <c r="C7" s="5">
        <f t="shared" si="2"/>
        <v>4.9536692405921992</v>
      </c>
      <c r="D7" s="5">
        <f t="shared" si="3"/>
        <v>4.9626540270000143</v>
      </c>
      <c r="E7" s="5">
        <f t="shared" si="4"/>
        <v>0.50224618149146449</v>
      </c>
      <c r="F7" s="5">
        <f t="shared" si="0"/>
        <v>0.62881214804884711</v>
      </c>
      <c r="G7" s="4">
        <f t="shared" si="5"/>
        <v>0.49775381850853562</v>
      </c>
      <c r="H7" s="5">
        <f t="shared" si="1"/>
        <v>0.37118785195115284</v>
      </c>
      <c r="I7">
        <f t="shared" si="6"/>
        <v>5.1023570912646106</v>
      </c>
    </row>
    <row r="8" spans="1:9" x14ac:dyDescent="0.25">
      <c r="A8" s="2">
        <v>149.36514144179378</v>
      </c>
      <c r="B8" s="2">
        <v>255.21819189153959</v>
      </c>
      <c r="C8" s="5">
        <f t="shared" si="2"/>
        <v>5.006393921791739</v>
      </c>
      <c r="D8" s="5">
        <f t="shared" si="3"/>
        <v>5.5421188337714469</v>
      </c>
      <c r="E8" s="5">
        <f t="shared" si="4"/>
        <v>0.63081736409855305</v>
      </c>
      <c r="F8" s="5">
        <f t="shared" si="0"/>
        <v>0.63445515485820991</v>
      </c>
      <c r="G8" s="4">
        <f t="shared" si="5"/>
        <v>0.36918263590144701</v>
      </c>
      <c r="H8" s="5">
        <f t="shared" si="1"/>
        <v>0.36554484514179009</v>
      </c>
      <c r="I8">
        <f t="shared" si="6"/>
        <v>5.179335125815939</v>
      </c>
    </row>
    <row r="9" spans="1:9" x14ac:dyDescent="0.25">
      <c r="A9" s="2">
        <v>235.28172348484853</v>
      </c>
      <c r="B9" s="2">
        <v>416.59327651515162</v>
      </c>
      <c r="C9" s="5">
        <f t="shared" si="2"/>
        <v>5.4607836194690309</v>
      </c>
      <c r="D9" s="5">
        <f t="shared" si="3"/>
        <v>6.0321103897507697</v>
      </c>
      <c r="E9" s="5">
        <f t="shared" si="4"/>
        <v>0.63906926406926412</v>
      </c>
      <c r="F9" s="5">
        <f t="shared" si="0"/>
        <v>0.68143989901828217</v>
      </c>
      <c r="G9" s="4">
        <f t="shared" si="5"/>
        <v>0.36093073593073594</v>
      </c>
      <c r="H9" s="5">
        <f t="shared" si="1"/>
        <v>0.31856010098171778</v>
      </c>
      <c r="I9">
        <f t="shared" si="6"/>
        <v>5.8427440844247851</v>
      </c>
    </row>
    <row r="10" spans="1:9" x14ac:dyDescent="0.25">
      <c r="A10" s="2">
        <v>253.37071330589848</v>
      </c>
      <c r="B10" s="2">
        <v>423.21262002743481</v>
      </c>
      <c r="C10" s="5">
        <f t="shared" si="2"/>
        <v>5.5348536862507478</v>
      </c>
      <c r="D10" s="5">
        <f t="shared" si="3"/>
        <v>6.0478747005801736</v>
      </c>
      <c r="E10" s="5">
        <f t="shared" si="4"/>
        <v>0.62551440329218111</v>
      </c>
      <c r="F10" s="5">
        <f t="shared" si="0"/>
        <v>0.68879013329953687</v>
      </c>
      <c r="G10" s="4">
        <f t="shared" si="5"/>
        <v>0.37448559670781895</v>
      </c>
      <c r="H10" s="5">
        <f t="shared" si="1"/>
        <v>0.31120986670046313</v>
      </c>
      <c r="I10">
        <f t="shared" si="6"/>
        <v>5.9508863819260922</v>
      </c>
    </row>
    <row r="11" spans="1:9" x14ac:dyDescent="0.25">
      <c r="A11" s="2">
        <v>204.26977107180025</v>
      </c>
      <c r="B11" s="2">
        <v>320.60522892819984</v>
      </c>
      <c r="C11" s="5">
        <f t="shared" si="2"/>
        <v>5.3194415274485971</v>
      </c>
      <c r="D11" s="5">
        <f t="shared" si="3"/>
        <v>5.7702105498621616</v>
      </c>
      <c r="E11" s="5">
        <f t="shared" si="4"/>
        <v>0.61082206035379805</v>
      </c>
      <c r="F11" s="5">
        <f t="shared" si="0"/>
        <v>0.66716256146643804</v>
      </c>
      <c r="G11" s="4">
        <f t="shared" si="5"/>
        <v>0.38917793964620184</v>
      </c>
      <c r="H11" s="5">
        <f t="shared" si="1"/>
        <v>0.3328374385335619</v>
      </c>
      <c r="I11">
        <f t="shared" si="6"/>
        <v>5.6363846300749518</v>
      </c>
    </row>
    <row r="12" spans="1:9" x14ac:dyDescent="0.25">
      <c r="A12" s="3">
        <v>63.11025986525506</v>
      </c>
      <c r="B12" s="3">
        <v>52.129740134744949</v>
      </c>
      <c r="C12" s="5">
        <f t="shared" si="2"/>
        <v>4.144883353243431</v>
      </c>
      <c r="D12" s="5">
        <f t="shared" si="3"/>
        <v>3.9537356138212045</v>
      </c>
      <c r="E12" s="5">
        <f t="shared" si="4"/>
        <v>0.4523580365736285</v>
      </c>
      <c r="F12" s="5">
        <f t="shared" si="0"/>
        <v>0.53869317589305676</v>
      </c>
      <c r="G12" s="4">
        <f t="shared" si="5"/>
        <v>0.5476419634263715</v>
      </c>
      <c r="H12" s="5">
        <f t="shared" si="1"/>
        <v>0.46130682410694324</v>
      </c>
      <c r="I12">
        <f t="shared" si="6"/>
        <v>3.9215296957354093</v>
      </c>
    </row>
    <row r="13" spans="1:9" x14ac:dyDescent="0.25">
      <c r="A13" s="3">
        <v>61.290313075506447</v>
      </c>
      <c r="B13" s="3">
        <v>50.38968692449356</v>
      </c>
      <c r="C13" s="5">
        <f t="shared" si="2"/>
        <v>4.1156218055855316</v>
      </c>
      <c r="D13" s="5">
        <f t="shared" si="3"/>
        <v>3.919786529624854</v>
      </c>
      <c r="E13" s="5">
        <f t="shared" si="4"/>
        <v>0.45119705340699817</v>
      </c>
      <c r="F13" s="5">
        <f t="shared" si="0"/>
        <v>0.5353465577131461</v>
      </c>
      <c r="G13" s="4">
        <f t="shared" si="5"/>
        <v>0.54880294659300177</v>
      </c>
      <c r="H13" s="5">
        <f t="shared" si="1"/>
        <v>0.4646534422868539</v>
      </c>
      <c r="I13">
        <f t="shared" si="6"/>
        <v>3.8788078361548761</v>
      </c>
    </row>
    <row r="14" spans="1:9" x14ac:dyDescent="0.25">
      <c r="A14" s="3">
        <v>59.595957446808505</v>
      </c>
      <c r="B14" s="3">
        <v>42.724042553191488</v>
      </c>
      <c r="C14" s="5">
        <f t="shared" si="2"/>
        <v>4.0875877436971937</v>
      </c>
      <c r="D14" s="5">
        <f t="shared" si="3"/>
        <v>3.7547618192290009</v>
      </c>
      <c r="E14" s="5">
        <f t="shared" si="4"/>
        <v>0.41755319148936171</v>
      </c>
      <c r="F14" s="5">
        <f t="shared" si="0"/>
        <v>0.5321373338287283</v>
      </c>
      <c r="G14" s="4">
        <f t="shared" si="5"/>
        <v>0.58244680851063824</v>
      </c>
      <c r="H14" s="5">
        <f t="shared" si="1"/>
        <v>0.46786266617127176</v>
      </c>
      <c r="I14">
        <f t="shared" si="6"/>
        <v>3.8378781057979028</v>
      </c>
    </row>
    <row r="15" spans="1:9" x14ac:dyDescent="0.25">
      <c r="A15" s="3">
        <v>88.788475711892787</v>
      </c>
      <c r="B15" s="3">
        <v>102.5715242881072</v>
      </c>
      <c r="C15" s="5">
        <f t="shared" si="2"/>
        <v>4.4862568635570028</v>
      </c>
      <c r="D15" s="5">
        <f t="shared" si="3"/>
        <v>4.6305603531634372</v>
      </c>
      <c r="E15" s="5">
        <f t="shared" si="4"/>
        <v>0.53601340033500844</v>
      </c>
      <c r="F15" s="5">
        <f t="shared" si="0"/>
        <v>0.57740132519156406</v>
      </c>
      <c r="G15" s="4">
        <f t="shared" si="5"/>
        <v>0.46398659966499162</v>
      </c>
      <c r="H15" s="5">
        <f t="shared" si="1"/>
        <v>0.42259867480843594</v>
      </c>
      <c r="I15">
        <f t="shared" si="6"/>
        <v>4.4199350207932238</v>
      </c>
    </row>
    <row r="16" spans="1:9" x14ac:dyDescent="0.25">
      <c r="A16" s="3">
        <v>104.14537517053206</v>
      </c>
      <c r="B16" s="3">
        <v>106.73462482946793</v>
      </c>
      <c r="C16" s="5">
        <f t="shared" si="2"/>
        <v>4.6457877612532616</v>
      </c>
      <c r="D16" s="5">
        <f t="shared" si="3"/>
        <v>4.670345612034926</v>
      </c>
      <c r="E16" s="5">
        <f t="shared" si="4"/>
        <v>0.50613915416098221</v>
      </c>
      <c r="F16" s="5">
        <f t="shared" si="0"/>
        <v>0.59519866047439096</v>
      </c>
      <c r="G16" s="4">
        <f t="shared" si="5"/>
        <v>0.49386084583901774</v>
      </c>
      <c r="H16" s="5">
        <f t="shared" si="1"/>
        <v>0.40480133952560904</v>
      </c>
      <c r="I16">
        <f t="shared" si="6"/>
        <v>4.6528501314297621</v>
      </c>
    </row>
    <row r="17" spans="1:9" x14ac:dyDescent="0.25">
      <c r="A17" s="3">
        <v>44.684527659574464</v>
      </c>
      <c r="B17" s="3">
        <v>32.755472340425527</v>
      </c>
      <c r="C17" s="5">
        <f t="shared" si="2"/>
        <v>3.7996273043304578</v>
      </c>
      <c r="D17" s="5">
        <f t="shared" si="3"/>
        <v>3.4890700424866909</v>
      </c>
      <c r="E17" s="5">
        <f t="shared" si="4"/>
        <v>0.42297872340425524</v>
      </c>
      <c r="F17" s="5">
        <f t="shared" si="0"/>
        <v>0.49906625001356797</v>
      </c>
      <c r="G17" s="4">
        <f t="shared" si="5"/>
        <v>0.57702127659574465</v>
      </c>
      <c r="H17" s="5">
        <f t="shared" si="1"/>
        <v>0.50093374998643203</v>
      </c>
      <c r="I17">
        <f t="shared" si="6"/>
        <v>3.4174558643224682</v>
      </c>
    </row>
    <row r="18" spans="1:9" x14ac:dyDescent="0.25">
      <c r="A18" s="3">
        <v>81.987743732590516</v>
      </c>
      <c r="B18" s="3">
        <v>69.212256267409472</v>
      </c>
      <c r="C18" s="5">
        <f t="shared" si="2"/>
        <v>4.4065697694172705</v>
      </c>
      <c r="D18" s="5">
        <f t="shared" si="3"/>
        <v>4.2371779606317341</v>
      </c>
      <c r="E18" s="5">
        <f t="shared" si="4"/>
        <v>0.45775301764159709</v>
      </c>
      <c r="F18" s="5">
        <f t="shared" si="0"/>
        <v>0.56843247212318171</v>
      </c>
      <c r="G18" s="4">
        <f t="shared" si="5"/>
        <v>0.54224698235840296</v>
      </c>
      <c r="H18" s="5">
        <f t="shared" si="1"/>
        <v>0.43156752787681835</v>
      </c>
      <c r="I18">
        <f t="shared" si="6"/>
        <v>4.3035918633492152</v>
      </c>
    </row>
    <row r="19" spans="1:9" x14ac:dyDescent="0.25">
      <c r="A19" s="3">
        <v>76.961953727506426</v>
      </c>
      <c r="B19" s="3">
        <v>69.07804627249358</v>
      </c>
      <c r="C19" s="5">
        <f t="shared" si="2"/>
        <v>4.3433111923073984</v>
      </c>
      <c r="D19" s="5">
        <f t="shared" si="3"/>
        <v>4.2352369707779758</v>
      </c>
      <c r="E19" s="5">
        <f t="shared" si="4"/>
        <v>0.47300771208226217</v>
      </c>
      <c r="F19" s="5">
        <f t="shared" si="0"/>
        <v>0.56128026860668223</v>
      </c>
      <c r="G19" s="4">
        <f t="shared" si="5"/>
        <v>0.52699228791773767</v>
      </c>
      <c r="H19" s="5">
        <f t="shared" si="1"/>
        <v>0.43871973139331777</v>
      </c>
      <c r="I19">
        <f t="shared" si="6"/>
        <v>4.2112343407688018</v>
      </c>
    </row>
    <row r="20" spans="1:9" x14ac:dyDescent="0.25">
      <c r="A20" s="3">
        <v>82.4</v>
      </c>
      <c r="B20" s="3">
        <v>71.2</v>
      </c>
      <c r="C20" s="5">
        <f t="shared" si="2"/>
        <v>4.4115854369154262</v>
      </c>
      <c r="D20" s="5">
        <f t="shared" si="3"/>
        <v>4.2654928184179299</v>
      </c>
      <c r="E20" s="5">
        <f t="shared" si="4"/>
        <v>0.46354166666666663</v>
      </c>
      <c r="F20" s="5">
        <f t="shared" si="0"/>
        <v>0.56899837962640709</v>
      </c>
      <c r="G20" s="4">
        <f t="shared" si="5"/>
        <v>0.53645833333333326</v>
      </c>
      <c r="H20" s="5">
        <f t="shared" si="1"/>
        <v>0.43100162037359285</v>
      </c>
      <c r="I20">
        <f t="shared" si="6"/>
        <v>4.310914737896522</v>
      </c>
    </row>
    <row r="21" spans="1:9" x14ac:dyDescent="0.25">
      <c r="A21" s="3">
        <v>73.442057877813497</v>
      </c>
      <c r="B21" s="3">
        <v>71.117942122186491</v>
      </c>
      <c r="C21" s="5">
        <f t="shared" si="2"/>
        <v>4.296496767131706</v>
      </c>
      <c r="D21" s="5">
        <f t="shared" si="3"/>
        <v>4.2643396554971744</v>
      </c>
      <c r="E21" s="5">
        <f t="shared" si="4"/>
        <v>0.49196141479099675</v>
      </c>
      <c r="F21" s="5">
        <f t="shared" si="0"/>
        <v>0.55597067650476695</v>
      </c>
      <c r="G21" s="4">
        <f t="shared" si="5"/>
        <v>0.50803858520900314</v>
      </c>
      <c r="H21" s="5">
        <f t="shared" si="1"/>
        <v>0.44402932349523305</v>
      </c>
      <c r="I21">
        <f t="shared" si="6"/>
        <v>4.1428852800122904</v>
      </c>
    </row>
    <row r="22" spans="1:9" x14ac:dyDescent="0.25">
      <c r="A22" s="3">
        <v>80.374685990338151</v>
      </c>
      <c r="B22" s="3">
        <v>65.825314009661824</v>
      </c>
      <c r="C22" s="5">
        <f t="shared" si="2"/>
        <v>4.3866992757425392</v>
      </c>
      <c r="D22" s="5">
        <f t="shared" si="3"/>
        <v>4.1870044757418547</v>
      </c>
      <c r="E22" s="5">
        <f t="shared" si="4"/>
        <v>0.45024154589371979</v>
      </c>
      <c r="F22" s="5">
        <f t="shared" si="0"/>
        <v>0.56618878218886892</v>
      </c>
      <c r="G22" s="4">
        <f t="shared" si="5"/>
        <v>0.5497584541062801</v>
      </c>
      <c r="H22" s="5">
        <f t="shared" si="1"/>
        <v>0.43381121781113113</v>
      </c>
      <c r="I22">
        <f t="shared" si="6"/>
        <v>4.274580942584107</v>
      </c>
    </row>
    <row r="23" spans="1:9" x14ac:dyDescent="0.25">
      <c r="A23" s="3">
        <v>55.721480144404339</v>
      </c>
      <c r="B23" s="3">
        <v>39.998519855595667</v>
      </c>
      <c r="C23" s="5">
        <f t="shared" si="2"/>
        <v>4.020365712528716</v>
      </c>
      <c r="D23" s="5">
        <f t="shared" si="3"/>
        <v>3.6888424498191776</v>
      </c>
      <c r="E23" s="5">
        <f t="shared" si="4"/>
        <v>0.41787003610108303</v>
      </c>
      <c r="F23" s="5">
        <f t="shared" si="0"/>
        <v>0.52443169334810924</v>
      </c>
      <c r="G23" s="4">
        <f t="shared" si="5"/>
        <v>0.58212996389891702</v>
      </c>
      <c r="H23" s="5">
        <f t="shared" si="1"/>
        <v>0.47556830665189082</v>
      </c>
      <c r="I23">
        <f t="shared" si="6"/>
        <v>3.7397339402919254</v>
      </c>
    </row>
    <row r="24" spans="1:9" x14ac:dyDescent="0.25">
      <c r="A24" s="3">
        <v>73.62133333333334</v>
      </c>
      <c r="B24" s="3">
        <v>64.418666666666667</v>
      </c>
      <c r="C24" s="5">
        <f t="shared" si="2"/>
        <v>4.2989348388074289</v>
      </c>
      <c r="D24" s="5">
        <f t="shared" si="3"/>
        <v>4.1654034461829061</v>
      </c>
      <c r="E24" s="5">
        <f t="shared" si="4"/>
        <v>0.46666666666666662</v>
      </c>
      <c r="F24" s="5">
        <f t="shared" si="0"/>
        <v>0.55624752395790034</v>
      </c>
      <c r="G24" s="4">
        <f t="shared" si="5"/>
        <v>0.53333333333333333</v>
      </c>
      <c r="H24" s="5">
        <f t="shared" si="1"/>
        <v>0.44375247604209961</v>
      </c>
      <c r="I24">
        <f t="shared" si="6"/>
        <v>4.1464448646588465</v>
      </c>
    </row>
    <row r="25" spans="1:9" x14ac:dyDescent="0.25">
      <c r="A25" s="3">
        <v>67.482477876106188</v>
      </c>
      <c r="B25" s="3">
        <v>53.557522123893804</v>
      </c>
      <c r="C25" s="5">
        <f t="shared" si="2"/>
        <v>4.2118679771592928</v>
      </c>
      <c r="D25" s="5">
        <f t="shared" si="3"/>
        <v>3.9807562561959058</v>
      </c>
      <c r="E25" s="5">
        <f t="shared" si="4"/>
        <v>0.44247787610619471</v>
      </c>
      <c r="F25" s="5">
        <f t="shared" si="0"/>
        <v>0.54634055307012785</v>
      </c>
      <c r="G25" s="4">
        <f t="shared" si="5"/>
        <v>0.55752212389380529</v>
      </c>
      <c r="H25" s="5">
        <f t="shared" si="1"/>
        <v>0.45365944692987215</v>
      </c>
      <c r="I25">
        <f t="shared" si="6"/>
        <v>4.0193272466525674</v>
      </c>
    </row>
    <row r="26" spans="1:9" x14ac:dyDescent="0.25">
      <c r="A26" s="3">
        <v>73.779328307059629</v>
      </c>
      <c r="B26" s="3">
        <v>67.300671692940369</v>
      </c>
      <c r="C26" s="5">
        <f t="shared" si="2"/>
        <v>4.3010785881295224</v>
      </c>
      <c r="D26" s="5">
        <f t="shared" si="3"/>
        <v>4.2091702171794854</v>
      </c>
      <c r="E26" s="5">
        <f t="shared" si="4"/>
        <v>0.47703906785469502</v>
      </c>
      <c r="F26" s="5">
        <f t="shared" si="0"/>
        <v>0.5564909217241929</v>
      </c>
      <c r="G26" s="4">
        <f t="shared" si="5"/>
        <v>0.52296093214530504</v>
      </c>
      <c r="H26" s="5">
        <f t="shared" si="1"/>
        <v>0.44350907827580704</v>
      </c>
      <c r="I26">
        <f t="shared" si="6"/>
        <v>4.1495747386691022</v>
      </c>
    </row>
    <row r="27" spans="1:9" x14ac:dyDescent="0.25">
      <c r="A27" s="3">
        <v>97.855826558265576</v>
      </c>
      <c r="B27" s="3">
        <v>95.584173441734407</v>
      </c>
      <c r="C27" s="5">
        <f t="shared" si="2"/>
        <v>4.5834952378870408</v>
      </c>
      <c r="D27" s="5">
        <f t="shared" si="3"/>
        <v>4.5600072565798264</v>
      </c>
      <c r="E27" s="5">
        <f t="shared" si="4"/>
        <v>0.49412827461607944</v>
      </c>
      <c r="F27" s="5">
        <f t="shared" si="0"/>
        <v>0.58827630071836468</v>
      </c>
      <c r="G27" s="4">
        <f t="shared" si="5"/>
        <v>0.50587172538392045</v>
      </c>
      <c r="H27" s="5">
        <f t="shared" si="1"/>
        <v>0.41172369928163538</v>
      </c>
      <c r="I27">
        <f t="shared" si="6"/>
        <v>4.5619030473150799</v>
      </c>
    </row>
    <row r="28" spans="1:9" x14ac:dyDescent="0.25">
      <c r="A28" s="3">
        <v>107.82632782719188</v>
      </c>
      <c r="B28" s="3">
        <v>104.85367217280813</v>
      </c>
      <c r="C28" s="5">
        <f t="shared" si="2"/>
        <v>4.680521857108598</v>
      </c>
      <c r="D28" s="5">
        <f t="shared" si="3"/>
        <v>4.6525657798420079</v>
      </c>
      <c r="E28" s="5">
        <f t="shared" si="4"/>
        <v>0.49301143583227447</v>
      </c>
      <c r="F28" s="5">
        <f t="shared" si="0"/>
        <v>0.59904235095166292</v>
      </c>
      <c r="G28" s="4">
        <f t="shared" si="5"/>
        <v>0.50698856416772553</v>
      </c>
      <c r="H28" s="5">
        <f t="shared" si="1"/>
        <v>0.40095764904833708</v>
      </c>
      <c r="I28">
        <f t="shared" si="6"/>
        <v>4.7035619113785527</v>
      </c>
    </row>
    <row r="29" spans="1:9" x14ac:dyDescent="0.25">
      <c r="A29" s="3">
        <v>114.56136882129276</v>
      </c>
      <c r="B29" s="3">
        <v>102.19863117870722</v>
      </c>
      <c r="C29" s="5">
        <f t="shared" si="2"/>
        <v>4.7411106516508408</v>
      </c>
      <c r="D29" s="5">
        <f t="shared" si="3"/>
        <v>4.6269182841251855</v>
      </c>
      <c r="E29" s="5">
        <f t="shared" si="4"/>
        <v>0.47148288973384028</v>
      </c>
      <c r="F29" s="5">
        <f t="shared" si="0"/>
        <v>0.60571780740632142</v>
      </c>
      <c r="G29" s="4">
        <f t="shared" si="5"/>
        <v>0.52851711026615966</v>
      </c>
      <c r="H29" s="5">
        <f t="shared" si="1"/>
        <v>0.39428219259367858</v>
      </c>
      <c r="I29">
        <f t="shared" si="6"/>
        <v>4.7920215514102278</v>
      </c>
    </row>
    <row r="30" spans="1:9" x14ac:dyDescent="0.25">
      <c r="A30" s="3">
        <v>85.366646971935012</v>
      </c>
      <c r="B30" s="3">
        <v>75.393353028064993</v>
      </c>
      <c r="C30" s="5">
        <f t="shared" si="2"/>
        <v>4.4469554738298269</v>
      </c>
      <c r="D30" s="5">
        <f t="shared" si="3"/>
        <v>4.3227191150014717</v>
      </c>
      <c r="E30" s="5">
        <f t="shared" si="4"/>
        <v>0.46898079763663225</v>
      </c>
      <c r="F30" s="5">
        <f t="shared" si="0"/>
        <v>0.57298391285246064</v>
      </c>
      <c r="G30" s="4">
        <f t="shared" si="5"/>
        <v>0.53101920236336786</v>
      </c>
      <c r="H30" s="5">
        <f t="shared" si="1"/>
        <v>0.42701608714753936</v>
      </c>
      <c r="I30">
        <f t="shared" si="6"/>
        <v>4.3625549917915469</v>
      </c>
    </row>
    <row r="31" spans="1:9" x14ac:dyDescent="0.25">
      <c r="A31" s="3">
        <v>107.57604395604396</v>
      </c>
      <c r="B31" s="3">
        <v>109.06395604395605</v>
      </c>
      <c r="C31" s="5">
        <f t="shared" si="2"/>
        <v>4.6781979831260436</v>
      </c>
      <c r="D31" s="5">
        <f t="shared" si="3"/>
        <v>4.6919344628539301</v>
      </c>
      <c r="E31" s="5">
        <f t="shared" si="4"/>
        <v>0.50343406593406592</v>
      </c>
      <c r="F31" s="5">
        <f t="shared" si="0"/>
        <v>0.59878556433971886</v>
      </c>
      <c r="G31" s="4">
        <f t="shared" si="5"/>
        <v>0.49656593406593408</v>
      </c>
      <c r="H31" s="5">
        <f t="shared" si="1"/>
        <v>0.40121443566028109</v>
      </c>
      <c r="I31">
        <f t="shared" si="6"/>
        <v>4.7001690553640234</v>
      </c>
    </row>
    <row r="32" spans="1:9" x14ac:dyDescent="0.25">
      <c r="A32" s="3">
        <v>157.50550180505417</v>
      </c>
      <c r="B32" s="3">
        <v>150.17449819494584</v>
      </c>
      <c r="C32" s="5">
        <f t="shared" si="2"/>
        <v>5.0594603897511581</v>
      </c>
      <c r="D32" s="5">
        <f t="shared" si="3"/>
        <v>5.0117979392619949</v>
      </c>
      <c r="E32" s="5">
        <f t="shared" si="4"/>
        <v>0.48808664259927792</v>
      </c>
      <c r="F32" s="5">
        <f t="shared" si="0"/>
        <v>0.64009769994965859</v>
      </c>
      <c r="G32" s="4">
        <f t="shared" si="5"/>
        <v>0.51191335740072208</v>
      </c>
      <c r="H32" s="5">
        <f t="shared" si="1"/>
        <v>0.35990230005034146</v>
      </c>
      <c r="I32">
        <f t="shared" si="6"/>
        <v>5.2568121690366905</v>
      </c>
    </row>
    <row r="33" spans="1:9" x14ac:dyDescent="0.25">
      <c r="A33" s="3">
        <v>75.383623468729851</v>
      </c>
      <c r="B33" s="3">
        <v>72.616376531270149</v>
      </c>
      <c r="C33" s="5">
        <f t="shared" si="2"/>
        <v>4.322590056048643</v>
      </c>
      <c r="D33" s="5">
        <f t="shared" si="3"/>
        <v>4.2851904684492617</v>
      </c>
      <c r="E33" s="5">
        <f t="shared" si="4"/>
        <v>0.49065119277885233</v>
      </c>
      <c r="F33" s="5">
        <f t="shared" si="0"/>
        <v>0.55893177815387118</v>
      </c>
      <c r="G33" s="4">
        <f t="shared" si="5"/>
        <v>0.50934880722114761</v>
      </c>
      <c r="H33" s="5">
        <f t="shared" si="1"/>
        <v>0.44106822184612876</v>
      </c>
      <c r="I33">
        <f t="shared" si="6"/>
        <v>4.1809814818310187</v>
      </c>
    </row>
    <row r="34" spans="1:9" x14ac:dyDescent="0.25">
      <c r="A34" s="3">
        <v>101.23097872340425</v>
      </c>
      <c r="B34" s="3">
        <v>103.84902127659575</v>
      </c>
      <c r="C34" s="5">
        <f t="shared" si="2"/>
        <v>4.6174048238777052</v>
      </c>
      <c r="D34" s="5">
        <f t="shared" si="3"/>
        <v>4.6429381258828704</v>
      </c>
      <c r="E34" s="5">
        <f t="shared" si="4"/>
        <v>0.50638297872340432</v>
      </c>
      <c r="F34" s="5">
        <f t="shared" si="0"/>
        <v>0.59204907780250027</v>
      </c>
      <c r="G34" s="4">
        <f t="shared" si="5"/>
        <v>0.49361702127659574</v>
      </c>
      <c r="H34" s="5">
        <f t="shared" si="1"/>
        <v>0.40795092219749968</v>
      </c>
      <c r="I34">
        <f t="shared" si="6"/>
        <v>4.6114110428614499</v>
      </c>
    </row>
    <row r="35" spans="1:9" x14ac:dyDescent="0.25">
      <c r="A35" s="3">
        <v>123.83387586206898</v>
      </c>
      <c r="B35" s="3">
        <v>118.48612413793103</v>
      </c>
      <c r="C35" s="5">
        <f t="shared" si="2"/>
        <v>4.8189409566004491</v>
      </c>
      <c r="D35" s="5">
        <f t="shared" si="3"/>
        <v>4.7747958578364891</v>
      </c>
      <c r="E35" s="5">
        <f t="shared" si="4"/>
        <v>0.48896551724137932</v>
      </c>
      <c r="F35" s="5">
        <f t="shared" si="0"/>
        <v>0.61423501432445826</v>
      </c>
      <c r="G35" s="4">
        <f t="shared" si="5"/>
        <v>0.51103448275862073</v>
      </c>
      <c r="H35" s="5">
        <f t="shared" si="1"/>
        <v>0.38576498567554174</v>
      </c>
      <c r="I35">
        <f t="shared" si="6"/>
        <v>4.9056537966366554</v>
      </c>
    </row>
    <row r="36" spans="1:9" x14ac:dyDescent="0.25">
      <c r="A36" s="3">
        <v>136.99417185554171</v>
      </c>
      <c r="B36" s="3">
        <v>138.36582814445825</v>
      </c>
      <c r="C36" s="5">
        <f t="shared" si="2"/>
        <v>4.9199383837227968</v>
      </c>
      <c r="D36" s="5">
        <f t="shared" si="3"/>
        <v>4.9299011062264713</v>
      </c>
      <c r="E36" s="5">
        <f t="shared" si="4"/>
        <v>0.50249066002490661</v>
      </c>
      <c r="F36" s="5">
        <f t="shared" ref="F36:F67" si="7">1 - 1/(1 + EXP(g_) * A36^(h_-1) * h_)</f>
        <v>0.62518337310207772</v>
      </c>
      <c r="G36" s="4">
        <f t="shared" si="5"/>
        <v>0.49750933997509345</v>
      </c>
      <c r="H36" s="5">
        <f t="shared" ref="H36:H67" si="8" xml:space="preserve"> 1/(1 + EXP(g_) * A36^(h_-1) * h_)</f>
        <v>0.37481662689792233</v>
      </c>
      <c r="I36">
        <f t="shared" si="6"/>
        <v>5.0531100402352829</v>
      </c>
    </row>
    <row r="37" spans="1:9" x14ac:dyDescent="0.25">
      <c r="A37" s="3">
        <v>126.22441304347826</v>
      </c>
      <c r="B37" s="3">
        <v>139.81558695652171</v>
      </c>
      <c r="C37" s="5">
        <f t="shared" si="2"/>
        <v>4.8380613786527915</v>
      </c>
      <c r="D37" s="5">
        <f t="shared" si="3"/>
        <v>4.9403243182664829</v>
      </c>
      <c r="E37" s="5">
        <f t="shared" si="4"/>
        <v>0.52554347826086956</v>
      </c>
      <c r="F37" s="5">
        <f t="shared" si="7"/>
        <v>0.61631698088570941</v>
      </c>
      <c r="G37" s="4">
        <f t="shared" si="5"/>
        <v>0.4744565217391305</v>
      </c>
      <c r="H37" s="5">
        <f t="shared" si="8"/>
        <v>0.38368301911429065</v>
      </c>
      <c r="I37">
        <f t="shared" si="6"/>
        <v>4.9335696128330753</v>
      </c>
    </row>
    <row r="38" spans="1:9" x14ac:dyDescent="0.25">
      <c r="A38" s="3">
        <v>74.178124999999994</v>
      </c>
      <c r="B38" s="3">
        <v>61.461874999999999</v>
      </c>
      <c r="C38" s="5">
        <f t="shared" si="2"/>
        <v>4.3064692953871795</v>
      </c>
      <c r="D38" s="5">
        <f t="shared" si="3"/>
        <v>4.1184170638842401</v>
      </c>
      <c r="E38" s="5">
        <f t="shared" si="4"/>
        <v>0.45312500000000006</v>
      </c>
      <c r="F38" s="5">
        <f t="shared" si="7"/>
        <v>0.55710285366502377</v>
      </c>
      <c r="G38" s="4">
        <f t="shared" si="5"/>
        <v>0.546875</v>
      </c>
      <c r="H38" s="5">
        <f t="shared" si="8"/>
        <v>0.44289714633497629</v>
      </c>
      <c r="I38">
        <f t="shared" si="6"/>
        <v>4.157445171265282</v>
      </c>
    </row>
    <row r="39" spans="1:9" x14ac:dyDescent="0.25">
      <c r="A39" s="3">
        <v>92.185797950219623</v>
      </c>
      <c r="B39" s="3">
        <v>83.934202049780382</v>
      </c>
      <c r="C39" s="5">
        <f t="shared" si="2"/>
        <v>4.5238060834508254</v>
      </c>
      <c r="D39" s="5">
        <f t="shared" si="3"/>
        <v>4.4300331829653867</v>
      </c>
      <c r="E39" s="5">
        <f t="shared" si="4"/>
        <v>0.47657393850658858</v>
      </c>
      <c r="F39" s="5">
        <f t="shared" si="7"/>
        <v>0.5816102739957012</v>
      </c>
      <c r="G39" s="4">
        <f t="shared" si="5"/>
        <v>0.52342606149341142</v>
      </c>
      <c r="H39" s="5">
        <f t="shared" si="8"/>
        <v>0.41838972600429875</v>
      </c>
      <c r="I39">
        <f t="shared" si="6"/>
        <v>4.4747568818382053</v>
      </c>
    </row>
    <row r="40" spans="1:9" x14ac:dyDescent="0.25">
      <c r="A40" s="3">
        <v>105.02227662178704</v>
      </c>
      <c r="B40" s="3">
        <v>105.53772337821296</v>
      </c>
      <c r="C40" s="5">
        <f t="shared" si="2"/>
        <v>4.6541724859578668</v>
      </c>
      <c r="D40" s="5">
        <f t="shared" si="3"/>
        <v>4.6590684565700737</v>
      </c>
      <c r="E40" s="5">
        <f t="shared" si="4"/>
        <v>0.50122399020807828</v>
      </c>
      <c r="F40" s="5">
        <f t="shared" si="7"/>
        <v>0.59612760665438924</v>
      </c>
      <c r="G40" s="4">
        <f t="shared" si="5"/>
        <v>0.49877600979192172</v>
      </c>
      <c r="H40" s="5">
        <f t="shared" si="8"/>
        <v>0.40387239334561076</v>
      </c>
      <c r="I40">
        <f t="shared" si="6"/>
        <v>4.6650918294984853</v>
      </c>
    </row>
    <row r="41" spans="1:9" x14ac:dyDescent="0.25">
      <c r="A41" s="3">
        <v>81.154975845410632</v>
      </c>
      <c r="B41" s="3">
        <v>72.965024154589372</v>
      </c>
      <c r="C41" s="5">
        <f t="shared" si="2"/>
        <v>4.3963606087217313</v>
      </c>
      <c r="D41" s="5">
        <f t="shared" si="3"/>
        <v>4.2899802051631593</v>
      </c>
      <c r="E41" s="5">
        <f t="shared" si="4"/>
        <v>0.47342995169082125</v>
      </c>
      <c r="F41" s="5">
        <f t="shared" si="7"/>
        <v>0.56728004278593269</v>
      </c>
      <c r="G41" s="4">
        <f t="shared" si="5"/>
        <v>0.52657004830917875</v>
      </c>
      <c r="H41" s="5">
        <f t="shared" si="8"/>
        <v>0.43271995721406731</v>
      </c>
      <c r="I41">
        <f t="shared" si="6"/>
        <v>4.2886864887337275</v>
      </c>
    </row>
    <row r="42" spans="1:9" x14ac:dyDescent="0.25">
      <c r="A42" s="3">
        <v>119.68375146541618</v>
      </c>
      <c r="B42" s="3">
        <v>122.23624853458382</v>
      </c>
      <c r="C42" s="5">
        <f t="shared" si="2"/>
        <v>4.7848528595355004</v>
      </c>
      <c r="D42" s="5">
        <f t="shared" si="3"/>
        <v>4.8059556356032367</v>
      </c>
      <c r="E42" s="5">
        <f t="shared" si="4"/>
        <v>0.50527549824150053</v>
      </c>
      <c r="F42" s="5">
        <f t="shared" si="7"/>
        <v>0.6105129173433308</v>
      </c>
      <c r="G42" s="4">
        <f t="shared" si="5"/>
        <v>0.49472450175849941</v>
      </c>
      <c r="H42" s="5">
        <f t="shared" si="8"/>
        <v>0.38948708265666926</v>
      </c>
      <c r="I42">
        <f t="shared" si="6"/>
        <v>4.8558851749218306</v>
      </c>
    </row>
    <row r="43" spans="1:9" x14ac:dyDescent="0.25">
      <c r="A43" s="3">
        <v>153.98564905414221</v>
      </c>
      <c r="B43" s="3">
        <v>165.01435094585781</v>
      </c>
      <c r="C43" s="5">
        <f t="shared" si="2"/>
        <v>5.036859410111246</v>
      </c>
      <c r="D43" s="5">
        <f t="shared" si="3"/>
        <v>5.1060324455478785</v>
      </c>
      <c r="E43" s="5">
        <f t="shared" si="4"/>
        <v>0.51728636660143512</v>
      </c>
      <c r="F43" s="5">
        <f t="shared" si="7"/>
        <v>0.63769917032831291</v>
      </c>
      <c r="G43" s="4">
        <f t="shared" si="5"/>
        <v>0.48271363339856493</v>
      </c>
      <c r="H43" s="5">
        <f t="shared" si="8"/>
        <v>0.36230082967168709</v>
      </c>
      <c r="I43">
        <f t="shared" si="6"/>
        <v>5.2238147387624192</v>
      </c>
    </row>
    <row r="44" spans="1:9" x14ac:dyDescent="0.25">
      <c r="A44" s="3">
        <v>115.71119315623592</v>
      </c>
      <c r="B44" s="3">
        <v>156.52880684376407</v>
      </c>
      <c r="C44" s="5">
        <f t="shared" si="2"/>
        <v>4.7510973724437235</v>
      </c>
      <c r="D44" s="5">
        <f t="shared" si="3"/>
        <v>5.0532400623307625</v>
      </c>
      <c r="E44" s="5">
        <f t="shared" si="4"/>
        <v>0.57496623142728498</v>
      </c>
      <c r="F44" s="5">
        <f t="shared" si="7"/>
        <v>0.60681440329777603</v>
      </c>
      <c r="G44" s="4">
        <f t="shared" si="5"/>
        <v>0.42503376857271497</v>
      </c>
      <c r="H44" s="5">
        <f t="shared" si="8"/>
        <v>0.39318559670222403</v>
      </c>
      <c r="I44">
        <f t="shared" si="6"/>
        <v>4.8066021637678364</v>
      </c>
    </row>
    <row r="45" spans="1:9" x14ac:dyDescent="0.25">
      <c r="A45" s="3">
        <v>163.43507284768211</v>
      </c>
      <c r="B45" s="3">
        <v>182.20492715231788</v>
      </c>
      <c r="C45" s="5">
        <f t="shared" si="2"/>
        <v>5.0964158035038132</v>
      </c>
      <c r="D45" s="5">
        <f t="shared" si="3"/>
        <v>5.2051320270086112</v>
      </c>
      <c r="E45" s="5">
        <f t="shared" si="4"/>
        <v>0.52715231788079475</v>
      </c>
      <c r="F45" s="5">
        <f t="shared" si="7"/>
        <v>0.64400451879888121</v>
      </c>
      <c r="G45" s="4">
        <f t="shared" si="5"/>
        <v>0.4728476821192053</v>
      </c>
      <c r="H45" s="5">
        <f t="shared" si="8"/>
        <v>0.35599548120111885</v>
      </c>
      <c r="I45">
        <f t="shared" si="6"/>
        <v>5.3107670731155672</v>
      </c>
    </row>
    <row r="46" spans="1:9" x14ac:dyDescent="0.25">
      <c r="A46" s="3">
        <v>149.70361059765867</v>
      </c>
      <c r="B46" s="3">
        <v>172.53638940234134</v>
      </c>
      <c r="C46" s="5">
        <f t="shared" si="2"/>
        <v>5.0086574100235621</v>
      </c>
      <c r="D46" s="5">
        <f t="shared" si="3"/>
        <v>5.150608167280998</v>
      </c>
      <c r="E46" s="5">
        <f t="shared" si="4"/>
        <v>0.53542821934688845</v>
      </c>
      <c r="F46" s="5">
        <f t="shared" si="7"/>
        <v>0.63469659908903453</v>
      </c>
      <c r="G46" s="4">
        <f t="shared" si="5"/>
        <v>0.46457178065311155</v>
      </c>
      <c r="H46" s="5">
        <f t="shared" si="8"/>
        <v>0.36530340091096553</v>
      </c>
      <c r="I46">
        <f t="shared" si="6"/>
        <v>5.1826398186344003</v>
      </c>
    </row>
    <row r="47" spans="1:9" x14ac:dyDescent="0.25">
      <c r="A47" s="3">
        <v>197.19899371069187</v>
      </c>
      <c r="B47" s="3">
        <v>269.0410062893082</v>
      </c>
      <c r="C47" s="5">
        <f t="shared" si="2"/>
        <v>5.2842133392685575</v>
      </c>
      <c r="D47" s="5">
        <f t="shared" si="3"/>
        <v>5.5948638077212882</v>
      </c>
      <c r="E47" s="5">
        <f t="shared" si="4"/>
        <v>0.57704402515723263</v>
      </c>
      <c r="F47" s="5">
        <f t="shared" si="7"/>
        <v>0.66355444548675535</v>
      </c>
      <c r="G47" s="4">
        <f t="shared" si="5"/>
        <v>0.42295597484276731</v>
      </c>
      <c r="H47" s="5">
        <f t="shared" si="8"/>
        <v>0.33644555451324465</v>
      </c>
      <c r="I47">
        <f t="shared" si="6"/>
        <v>5.5849514753320939</v>
      </c>
    </row>
    <row r="48" spans="1:9" x14ac:dyDescent="0.25">
      <c r="A48" s="3">
        <v>174.86373626373626</v>
      </c>
      <c r="B48" s="3">
        <v>210.89626373626371</v>
      </c>
      <c r="C48" s="5">
        <f t="shared" si="2"/>
        <v>5.164007020696701</v>
      </c>
      <c r="D48" s="5">
        <f t="shared" si="3"/>
        <v>5.3513663715206121</v>
      </c>
      <c r="E48" s="5">
        <f t="shared" si="4"/>
        <v>0.54670329670329665</v>
      </c>
      <c r="F48" s="5">
        <f t="shared" si="7"/>
        <v>0.65110040281346415</v>
      </c>
      <c r="G48" s="4">
        <f t="shared" si="5"/>
        <v>0.4532967032967033</v>
      </c>
      <c r="H48" s="5">
        <f t="shared" si="8"/>
        <v>0.3488995971865359</v>
      </c>
      <c r="I48">
        <f t="shared" si="6"/>
        <v>5.4094502502171835</v>
      </c>
    </row>
    <row r="49" spans="1:9" x14ac:dyDescent="0.25">
      <c r="A49" s="3">
        <v>175.49687861271678</v>
      </c>
      <c r="B49" s="3">
        <v>185.94312138728327</v>
      </c>
      <c r="C49" s="5">
        <f t="shared" si="2"/>
        <v>5.1676212570652282</v>
      </c>
      <c r="D49" s="5">
        <f t="shared" si="3"/>
        <v>5.2254408279540545</v>
      </c>
      <c r="E49" s="5">
        <f t="shared" si="4"/>
        <v>0.51445086705202314</v>
      </c>
      <c r="F49" s="5">
        <f t="shared" si="7"/>
        <v>0.6514779868537508</v>
      </c>
      <c r="G49" s="4">
        <f t="shared" si="5"/>
        <v>0.48554913294797686</v>
      </c>
      <c r="H49" s="5">
        <f t="shared" si="8"/>
        <v>0.34852201314624925</v>
      </c>
      <c r="I49">
        <f t="shared" si="6"/>
        <v>5.4147270353152335</v>
      </c>
    </row>
    <row r="50" spans="1:9" x14ac:dyDescent="0.25">
      <c r="A50" s="3">
        <v>190.92924513618675</v>
      </c>
      <c r="B50" s="3">
        <v>258.83075486381318</v>
      </c>
      <c r="C50" s="5">
        <f t="shared" si="2"/>
        <v>5.2519029151020273</v>
      </c>
      <c r="D50" s="5">
        <f t="shared" si="3"/>
        <v>5.5561743919797557</v>
      </c>
      <c r="E50" s="5">
        <f t="shared" si="4"/>
        <v>0.57548638132295715</v>
      </c>
      <c r="F50" s="5">
        <f t="shared" si="7"/>
        <v>0.66022830310764158</v>
      </c>
      <c r="G50" s="4">
        <f t="shared" si="5"/>
        <v>0.42451361867704279</v>
      </c>
      <c r="H50" s="5">
        <f t="shared" si="8"/>
        <v>0.33977169689235842</v>
      </c>
      <c r="I50">
        <f t="shared" si="6"/>
        <v>5.5377782560489601</v>
      </c>
    </row>
    <row r="51" spans="1:9" x14ac:dyDescent="0.25">
      <c r="A51" s="3">
        <v>180.59651884700668</v>
      </c>
      <c r="B51" s="3">
        <v>230.24348115299335</v>
      </c>
      <c r="C51" s="5">
        <f t="shared" si="2"/>
        <v>5.1962653653098831</v>
      </c>
      <c r="D51" s="5">
        <f t="shared" si="3"/>
        <v>5.4391373626955062</v>
      </c>
      <c r="E51" s="5">
        <f t="shared" si="4"/>
        <v>0.56042128603104213</v>
      </c>
      <c r="F51" s="5">
        <f t="shared" si="7"/>
        <v>0.65446371921012658</v>
      </c>
      <c r="G51" s="4">
        <f t="shared" si="5"/>
        <v>0.43957871396895792</v>
      </c>
      <c r="H51" s="5">
        <f t="shared" si="8"/>
        <v>0.34553628078987342</v>
      </c>
      <c r="I51">
        <f t="shared" si="6"/>
        <v>5.4565474333524291</v>
      </c>
    </row>
    <row r="52" spans="1:9" x14ac:dyDescent="0.25">
      <c r="A52" s="3">
        <v>184.62055366682858</v>
      </c>
      <c r="B52" s="3">
        <v>215.09944633317147</v>
      </c>
      <c r="C52" s="5">
        <f t="shared" si="2"/>
        <v>5.2183026575111899</v>
      </c>
      <c r="D52" s="5">
        <f t="shared" si="3"/>
        <v>5.3711004622730281</v>
      </c>
      <c r="E52" s="5">
        <f t="shared" si="4"/>
        <v>0.53812530354541044</v>
      </c>
      <c r="F52" s="5">
        <f t="shared" si="7"/>
        <v>0.65675254154510787</v>
      </c>
      <c r="G52" s="4">
        <f t="shared" si="5"/>
        <v>0.46187469645458962</v>
      </c>
      <c r="H52" s="5">
        <f t="shared" si="8"/>
        <v>0.34324745845489218</v>
      </c>
      <c r="I52">
        <f t="shared" si="6"/>
        <v>5.4887218799663371</v>
      </c>
    </row>
    <row r="53" spans="1:9" x14ac:dyDescent="0.25">
      <c r="A53" s="3">
        <v>128.21434302908725</v>
      </c>
      <c r="B53" s="3">
        <v>183.1856569709127</v>
      </c>
      <c r="C53" s="5">
        <f t="shared" si="2"/>
        <v>4.8537034183305421</v>
      </c>
      <c r="D53" s="5">
        <f t="shared" si="3"/>
        <v>5.2105001575315892</v>
      </c>
      <c r="E53" s="5">
        <f t="shared" si="4"/>
        <v>0.58826479438314938</v>
      </c>
      <c r="F53" s="5">
        <f t="shared" si="7"/>
        <v>0.61801703493412874</v>
      </c>
      <c r="G53" s="4">
        <f t="shared" si="5"/>
        <v>0.41173520561685051</v>
      </c>
      <c r="H53" s="5">
        <f t="shared" si="8"/>
        <v>0.38198296506587126</v>
      </c>
      <c r="I53">
        <f t="shared" si="6"/>
        <v>4.9564069907625914</v>
      </c>
    </row>
    <row r="54" spans="1:9" x14ac:dyDescent="0.25">
      <c r="A54" s="3">
        <v>129.24799001248439</v>
      </c>
      <c r="B54" s="3">
        <v>143.9120099875156</v>
      </c>
      <c r="C54" s="5">
        <f t="shared" si="2"/>
        <v>4.8617329621069558</v>
      </c>
      <c r="D54" s="5">
        <f t="shared" si="3"/>
        <v>4.9692020710605407</v>
      </c>
      <c r="E54" s="5">
        <f t="shared" si="4"/>
        <v>0.52684144818976286</v>
      </c>
      <c r="F54" s="5">
        <f t="shared" si="7"/>
        <v>0.61888860715421812</v>
      </c>
      <c r="G54" s="4">
        <f t="shared" si="5"/>
        <v>0.47315855181023725</v>
      </c>
      <c r="H54" s="5">
        <f t="shared" si="8"/>
        <v>0.38111139284578183</v>
      </c>
      <c r="I54">
        <f t="shared" si="6"/>
        <v>4.9681301246761551</v>
      </c>
    </row>
    <row r="55" spans="1:9" x14ac:dyDescent="0.25">
      <c r="A55" s="3">
        <v>96.134250926416087</v>
      </c>
      <c r="B55" s="3">
        <v>115.0257490735839</v>
      </c>
      <c r="C55" s="5">
        <f t="shared" si="2"/>
        <v>4.5657456617014596</v>
      </c>
      <c r="D55" s="5">
        <f t="shared" si="3"/>
        <v>4.7451560082879558</v>
      </c>
      <c r="E55" s="5">
        <f t="shared" si="4"/>
        <v>0.54473266278454213</v>
      </c>
      <c r="F55" s="5">
        <f t="shared" si="7"/>
        <v>0.58629730999531393</v>
      </c>
      <c r="G55" s="4">
        <f t="shared" si="5"/>
        <v>0.45526733721545798</v>
      </c>
      <c r="H55" s="5">
        <f t="shared" si="8"/>
        <v>0.41370269000468601</v>
      </c>
      <c r="I55">
        <f t="shared" si="6"/>
        <v>4.5359886660841306</v>
      </c>
    </row>
    <row r="56" spans="1:9" x14ac:dyDescent="0.25">
      <c r="A56" s="3">
        <v>189.98903575297942</v>
      </c>
      <c r="B56" s="3">
        <v>228.53096424702059</v>
      </c>
      <c r="C56" s="5">
        <f t="shared" si="2"/>
        <v>5.246966363932132</v>
      </c>
      <c r="D56" s="5">
        <f t="shared" si="3"/>
        <v>5.4316717120813633</v>
      </c>
      <c r="E56" s="5">
        <f t="shared" si="4"/>
        <v>0.54604550379198269</v>
      </c>
      <c r="F56" s="5">
        <f t="shared" si="7"/>
        <v>0.65971871337231969</v>
      </c>
      <c r="G56" s="4">
        <f t="shared" si="5"/>
        <v>0.45395449620801737</v>
      </c>
      <c r="H56" s="5">
        <f t="shared" si="8"/>
        <v>0.34028128662768031</v>
      </c>
      <c r="I56">
        <f t="shared" si="6"/>
        <v>5.5305708913409131</v>
      </c>
    </row>
    <row r="57" spans="1:9" x14ac:dyDescent="0.25">
      <c r="A57" s="3">
        <v>146.45975191966923</v>
      </c>
      <c r="B57" s="3">
        <v>175.9802480803308</v>
      </c>
      <c r="C57" s="5">
        <f t="shared" si="2"/>
        <v>4.9867506597879085</v>
      </c>
      <c r="D57" s="5">
        <f t="shared" si="3"/>
        <v>5.1703717619239491</v>
      </c>
      <c r="E57" s="5">
        <f t="shared" si="4"/>
        <v>0.54577672770230357</v>
      </c>
      <c r="F57" s="5">
        <f t="shared" si="7"/>
        <v>0.63235699761760467</v>
      </c>
      <c r="G57" s="4">
        <f t="shared" si="5"/>
        <v>0.45422327229769632</v>
      </c>
      <c r="H57" s="5">
        <f t="shared" si="8"/>
        <v>0.36764300238239539</v>
      </c>
      <c r="I57">
        <f t="shared" si="6"/>
        <v>5.1506559632903466</v>
      </c>
    </row>
    <row r="58" spans="1:9" x14ac:dyDescent="0.25">
      <c r="A58" s="3">
        <v>162.01194722955145</v>
      </c>
      <c r="B58" s="3">
        <v>205.22805277044856</v>
      </c>
      <c r="C58" s="5">
        <f t="shared" si="2"/>
        <v>5.0876700808436741</v>
      </c>
      <c r="D58" s="5">
        <f t="shared" si="3"/>
        <v>5.3241218133603789</v>
      </c>
      <c r="E58" s="5">
        <f t="shared" si="4"/>
        <v>0.55883905013192614</v>
      </c>
      <c r="F58" s="5">
        <f t="shared" si="7"/>
        <v>0.64308165412604756</v>
      </c>
      <c r="G58" s="4">
        <f t="shared" si="5"/>
        <v>0.44116094986807386</v>
      </c>
      <c r="H58" s="5">
        <f t="shared" si="8"/>
        <v>0.35691834587395249</v>
      </c>
      <c r="I58">
        <f t="shared" si="6"/>
        <v>5.2979983180317642</v>
      </c>
    </row>
    <row r="59" spans="1:9" x14ac:dyDescent="0.25">
      <c r="A59" s="3">
        <v>172.8227600849257</v>
      </c>
      <c r="B59" s="3">
        <v>211.13723991507433</v>
      </c>
      <c r="C59" s="5">
        <f t="shared" si="2"/>
        <v>5.1522665611509311</v>
      </c>
      <c r="D59" s="5">
        <f t="shared" si="3"/>
        <v>5.3525083481784561</v>
      </c>
      <c r="E59" s="5">
        <f t="shared" si="4"/>
        <v>0.54989384288747345</v>
      </c>
      <c r="F59" s="5">
        <f t="shared" si="7"/>
        <v>0.64987255413330991</v>
      </c>
      <c r="G59" s="4">
        <f t="shared" si="5"/>
        <v>0.45010615711252655</v>
      </c>
      <c r="H59" s="5">
        <f t="shared" si="8"/>
        <v>0.35012744586669015</v>
      </c>
      <c r="I59">
        <f t="shared" si="6"/>
        <v>5.3923091792803595</v>
      </c>
    </row>
    <row r="60" spans="1:9" x14ac:dyDescent="0.25">
      <c r="A60" s="3">
        <v>143.77143607705781</v>
      </c>
      <c r="B60" s="3">
        <v>223.94856392294224</v>
      </c>
      <c r="C60" s="5">
        <f t="shared" si="2"/>
        <v>4.9682247890961522</v>
      </c>
      <c r="D60" s="5">
        <f t="shared" si="3"/>
        <v>5.4114164001430964</v>
      </c>
      <c r="E60" s="5">
        <f t="shared" si="4"/>
        <v>0.60901926444833632</v>
      </c>
      <c r="F60" s="5">
        <f t="shared" si="7"/>
        <v>0.6303735871844699</v>
      </c>
      <c r="G60" s="4">
        <f t="shared" si="5"/>
        <v>0.39098073555166379</v>
      </c>
      <c r="H60" s="5">
        <f t="shared" si="8"/>
        <v>0.3696264128155301</v>
      </c>
      <c r="I60">
        <f t="shared" si="6"/>
        <v>5.1236081920803818</v>
      </c>
    </row>
    <row r="61" spans="1:9" x14ac:dyDescent="0.25">
      <c r="A61" s="3">
        <v>174.79170731707319</v>
      </c>
      <c r="B61" s="3">
        <v>296.32829268292687</v>
      </c>
      <c r="C61" s="5">
        <f t="shared" si="2"/>
        <v>5.1635950211182342</v>
      </c>
      <c r="D61" s="5">
        <f t="shared" si="3"/>
        <v>5.6914679366322591</v>
      </c>
      <c r="E61" s="5">
        <f t="shared" si="4"/>
        <v>0.62898686679174487</v>
      </c>
      <c r="F61" s="5">
        <f t="shared" si="7"/>
        <v>0.65105734861870945</v>
      </c>
      <c r="G61" s="4">
        <f t="shared" si="5"/>
        <v>0.37101313320825513</v>
      </c>
      <c r="H61" s="5">
        <f t="shared" si="8"/>
        <v>0.3489426513812906</v>
      </c>
      <c r="I61">
        <f t="shared" si="6"/>
        <v>5.4088487308326219</v>
      </c>
    </row>
    <row r="62" spans="1:9" x14ac:dyDescent="0.25">
      <c r="A62" s="3">
        <v>160.2962962962963</v>
      </c>
      <c r="B62" s="3">
        <v>272.50370370370371</v>
      </c>
      <c r="C62" s="5">
        <f t="shared" si="2"/>
        <v>5.0770239545219882</v>
      </c>
      <c r="D62" s="5">
        <f t="shared" si="3"/>
        <v>5.6076522055841584</v>
      </c>
      <c r="E62" s="5">
        <f t="shared" si="4"/>
        <v>0.62962962962962965</v>
      </c>
      <c r="F62" s="5">
        <f t="shared" si="7"/>
        <v>0.64195682128527198</v>
      </c>
      <c r="G62" s="4">
        <f t="shared" si="5"/>
        <v>0.37037037037037041</v>
      </c>
      <c r="H62" s="5">
        <f t="shared" si="8"/>
        <v>0.35804317871472802</v>
      </c>
      <c r="I62">
        <f t="shared" si="6"/>
        <v>5.2824549736021025</v>
      </c>
    </row>
    <row r="63" spans="1:9" x14ac:dyDescent="0.25">
      <c r="A63" s="3">
        <v>190.08662262592895</v>
      </c>
      <c r="B63" s="3">
        <v>354.75337737407102</v>
      </c>
      <c r="C63" s="5">
        <f t="shared" si="2"/>
        <v>5.2474798768232773</v>
      </c>
      <c r="D63" s="5">
        <f t="shared" si="3"/>
        <v>5.8714228364291419</v>
      </c>
      <c r="E63" s="5">
        <f t="shared" si="4"/>
        <v>0.6511147811725847</v>
      </c>
      <c r="F63" s="5">
        <f t="shared" si="7"/>
        <v>0.65977173946968692</v>
      </c>
      <c r="G63" s="4">
        <f t="shared" si="5"/>
        <v>0.34888521882741536</v>
      </c>
      <c r="H63" s="5">
        <f t="shared" si="8"/>
        <v>0.34022826053031302</v>
      </c>
      <c r="I63">
        <f t="shared" si="6"/>
        <v>5.5313206201619849</v>
      </c>
    </row>
    <row r="64" spans="1:9" x14ac:dyDescent="0.25">
      <c r="A64" s="3">
        <v>253.66323793250746</v>
      </c>
      <c r="B64" s="3">
        <v>431.2567620674925</v>
      </c>
      <c r="C64" s="5">
        <f t="shared" si="2"/>
        <v>5.5360075524104015</v>
      </c>
      <c r="D64" s="5">
        <f t="shared" si="3"/>
        <v>6.0667036483791419</v>
      </c>
      <c r="E64" s="5">
        <f t="shared" si="4"/>
        <v>0.6296454506621102</v>
      </c>
      <c r="F64" s="5">
        <f t="shared" si="7"/>
        <v>0.68890389865193491</v>
      </c>
      <c r="G64" s="4">
        <f t="shared" si="5"/>
        <v>0.3703545493378898</v>
      </c>
      <c r="H64" s="5">
        <f t="shared" si="8"/>
        <v>0.31109610134806509</v>
      </c>
      <c r="I64">
        <f t="shared" si="6"/>
        <v>5.9525710265191867</v>
      </c>
    </row>
    <row r="65" spans="1:9" x14ac:dyDescent="0.25">
      <c r="A65" s="3">
        <v>264.42909856781802</v>
      </c>
      <c r="B65" s="3">
        <v>409.85090143218196</v>
      </c>
      <c r="C65" s="5">
        <f t="shared" si="2"/>
        <v>5.577573157019561</v>
      </c>
      <c r="D65" s="5">
        <f t="shared" si="3"/>
        <v>6.0157934385163649</v>
      </c>
      <c r="E65" s="5">
        <f t="shared" si="4"/>
        <v>0.60783487784330248</v>
      </c>
      <c r="F65" s="5">
        <f t="shared" si="7"/>
        <v>0.69298677446189183</v>
      </c>
      <c r="G65" s="4">
        <f t="shared" si="5"/>
        <v>0.39216512215669758</v>
      </c>
      <c r="H65" s="5">
        <f t="shared" si="8"/>
        <v>0.30701322553810823</v>
      </c>
      <c r="I65">
        <f t="shared" si="6"/>
        <v>6.013256809248559</v>
      </c>
    </row>
    <row r="66" spans="1:9" x14ac:dyDescent="0.25">
      <c r="A66" s="3">
        <v>239.85766092475063</v>
      </c>
      <c r="B66" s="3">
        <v>371.14233907524931</v>
      </c>
      <c r="C66" s="5">
        <f t="shared" si="2"/>
        <v>5.4800456679205825</v>
      </c>
      <c r="D66" s="5">
        <f t="shared" si="3"/>
        <v>5.9165856523031044</v>
      </c>
      <c r="E66" s="5">
        <f t="shared" si="4"/>
        <v>0.60743427017225748</v>
      </c>
      <c r="F66" s="5">
        <f t="shared" si="7"/>
        <v>0.68336024185225097</v>
      </c>
      <c r="G66" s="4">
        <f t="shared" si="5"/>
        <v>0.39256572982774246</v>
      </c>
      <c r="H66" s="5">
        <f t="shared" si="8"/>
        <v>0.31663975814774903</v>
      </c>
      <c r="I66">
        <f t="shared" si="6"/>
        <v>5.8708666751640495</v>
      </c>
    </row>
    <row r="67" spans="1:9" x14ac:dyDescent="0.25">
      <c r="A67" s="3">
        <v>225.03129982668978</v>
      </c>
      <c r="B67" s="3">
        <v>377.48870017331024</v>
      </c>
      <c r="C67" s="5">
        <f t="shared" si="2"/>
        <v>5.416239502870317</v>
      </c>
      <c r="D67" s="5">
        <f t="shared" si="3"/>
        <v>5.9335406349253343</v>
      </c>
      <c r="E67" s="5">
        <f t="shared" si="4"/>
        <v>0.62651646447140386</v>
      </c>
      <c r="F67" s="5">
        <f t="shared" si="7"/>
        <v>0.67697543343212274</v>
      </c>
      <c r="G67" s="4">
        <f t="shared" si="5"/>
        <v>0.3734835355285962</v>
      </c>
      <c r="H67" s="5">
        <f t="shared" si="8"/>
        <v>0.32302456656787726</v>
      </c>
      <c r="I67">
        <f t="shared" si="6"/>
        <v>5.7777096741906631</v>
      </c>
    </row>
    <row r="68" spans="1:9" x14ac:dyDescent="0.25">
      <c r="A68" s="3">
        <v>242.17909371781667</v>
      </c>
      <c r="B68" s="3">
        <v>322.4209062821833</v>
      </c>
      <c r="C68" s="5">
        <f t="shared" si="2"/>
        <v>5.4896775091349612</v>
      </c>
      <c r="D68" s="5">
        <f t="shared" si="3"/>
        <v>5.7758578543184855</v>
      </c>
      <c r="E68" s="5">
        <f t="shared" si="4"/>
        <v>0.57106076210092693</v>
      </c>
      <c r="F68" s="5">
        <f t="shared" ref="F68:F87" si="9">1 - 1/(1 + EXP(g_) * A68^(h_-1) * h_)</f>
        <v>0.6843181611217195</v>
      </c>
      <c r="G68" s="4">
        <f t="shared" si="5"/>
        <v>0.42893923789907318</v>
      </c>
      <c r="H68" s="5">
        <f t="shared" ref="H68:H87" si="10" xml:space="preserve"> 1/(1 + EXP(g_) * A68^(h_-1) * h_)</f>
        <v>0.31568183887828055</v>
      </c>
      <c r="I68">
        <f t="shared" si="6"/>
        <v>5.884929163337044</v>
      </c>
    </row>
    <row r="69" spans="1:9" x14ac:dyDescent="0.25">
      <c r="A69" s="3">
        <v>166.90311486962651</v>
      </c>
      <c r="B69" s="3">
        <v>324.45688513037345</v>
      </c>
      <c r="C69" s="5">
        <f t="shared" ref="C69:C87" si="11">LN(A69)</f>
        <v>5.1174134935830695</v>
      </c>
      <c r="D69" s="5">
        <f t="shared" ref="D69:D87" si="12">LN(B69)</f>
        <v>5.7821526617708914</v>
      </c>
      <c r="E69" s="5">
        <f t="shared" ref="E69:E87" si="13">B69/(A69+B69)</f>
        <v>0.66032417195207893</v>
      </c>
      <c r="F69" s="5">
        <f t="shared" si="9"/>
        <v>0.64621585984658347</v>
      </c>
      <c r="G69" s="4">
        <f t="shared" ref="G69:G87" si="14">A69/(A69+B69)</f>
        <v>0.33967582804792112</v>
      </c>
      <c r="H69" s="5">
        <f t="shared" si="10"/>
        <v>0.35378414015341658</v>
      </c>
      <c r="I69">
        <f t="shared" ref="I69:I87" si="15">1.46*C69-2.13</f>
        <v>5.3414237006312817</v>
      </c>
    </row>
    <row r="70" spans="1:9" x14ac:dyDescent="0.25">
      <c r="A70" s="3">
        <v>189.98423389279912</v>
      </c>
      <c r="B70" s="3">
        <v>272.33576610720093</v>
      </c>
      <c r="C70" s="5">
        <f t="shared" si="11"/>
        <v>5.2469410892059125</v>
      </c>
      <c r="D70" s="5">
        <f t="shared" si="12"/>
        <v>5.6070357392261707</v>
      </c>
      <c r="E70" s="5">
        <f t="shared" si="13"/>
        <v>0.58906334596643206</v>
      </c>
      <c r="F70" s="5">
        <f t="shared" si="9"/>
        <v>0.65971610336354369</v>
      </c>
      <c r="G70" s="4">
        <f t="shared" si="14"/>
        <v>0.41093665403356788</v>
      </c>
      <c r="H70" s="5">
        <f t="shared" si="10"/>
        <v>0.34028389663645625</v>
      </c>
      <c r="I70">
        <f t="shared" si="15"/>
        <v>5.5305339902406319</v>
      </c>
    </row>
    <row r="71" spans="1:9" x14ac:dyDescent="0.25">
      <c r="A71" s="3">
        <v>180.63907117617362</v>
      </c>
      <c r="B71" s="3">
        <v>257.36092882382633</v>
      </c>
      <c r="C71" s="5">
        <f t="shared" si="11"/>
        <v>5.1965009585378983</v>
      </c>
      <c r="D71" s="5">
        <f t="shared" si="12"/>
        <v>5.5504794919692779</v>
      </c>
      <c r="E71" s="5">
        <f t="shared" si="13"/>
        <v>0.5875820292781424</v>
      </c>
      <c r="F71" s="5">
        <f t="shared" si="9"/>
        <v>0.65448822634802739</v>
      </c>
      <c r="G71" s="4">
        <f t="shared" si="14"/>
        <v>0.4124179707218576</v>
      </c>
      <c r="H71" s="5">
        <f t="shared" si="10"/>
        <v>0.34551177365197261</v>
      </c>
      <c r="I71">
        <f t="shared" si="15"/>
        <v>5.4568913994653316</v>
      </c>
    </row>
    <row r="72" spans="1:9" x14ac:dyDescent="0.25">
      <c r="A72" s="3">
        <v>209.5567362722351</v>
      </c>
      <c r="B72" s="3">
        <v>327.52326372776486</v>
      </c>
      <c r="C72" s="5">
        <f t="shared" si="11"/>
        <v>5.3449945202263134</v>
      </c>
      <c r="D72" s="5">
        <f t="shared" si="12"/>
        <v>5.7915590868357425</v>
      </c>
      <c r="E72" s="5">
        <f t="shared" si="13"/>
        <v>0.60982211910286155</v>
      </c>
      <c r="F72" s="5">
        <f t="shared" si="9"/>
        <v>0.6697675507888351</v>
      </c>
      <c r="G72" s="4">
        <f t="shared" si="14"/>
        <v>0.39017788089713845</v>
      </c>
      <c r="H72" s="5">
        <f t="shared" si="10"/>
        <v>0.3302324492111649</v>
      </c>
      <c r="I72">
        <f t="shared" si="15"/>
        <v>5.6736919995304174</v>
      </c>
    </row>
    <row r="73" spans="1:9" x14ac:dyDescent="0.25">
      <c r="A73" s="3">
        <v>215.62576271186441</v>
      </c>
      <c r="B73" s="3">
        <v>314.45423728813552</v>
      </c>
      <c r="C73" s="5">
        <f t="shared" si="11"/>
        <v>5.3735443249938122</v>
      </c>
      <c r="D73" s="5">
        <f t="shared" si="12"/>
        <v>5.7508385561352799</v>
      </c>
      <c r="E73" s="5">
        <f t="shared" si="13"/>
        <v>0.59322033898305082</v>
      </c>
      <c r="F73" s="5">
        <f t="shared" si="9"/>
        <v>0.6726657710934365</v>
      </c>
      <c r="G73" s="4">
        <f t="shared" si="14"/>
        <v>0.40677966101694923</v>
      </c>
      <c r="H73" s="5">
        <f t="shared" si="10"/>
        <v>0.3273342289065635</v>
      </c>
      <c r="I73">
        <f t="shared" si="15"/>
        <v>5.7153747144909657</v>
      </c>
    </row>
    <row r="74" spans="1:9" x14ac:dyDescent="0.25">
      <c r="A74" s="3">
        <v>241.6264471057884</v>
      </c>
      <c r="B74" s="3">
        <v>375.21355289421155</v>
      </c>
      <c r="C74" s="5">
        <f t="shared" si="11"/>
        <v>5.4873929265671082</v>
      </c>
      <c r="D74" s="5">
        <f t="shared" si="12"/>
        <v>5.9274953382659721</v>
      </c>
      <c r="E74" s="5">
        <f t="shared" si="13"/>
        <v>0.60828343313373257</v>
      </c>
      <c r="F74" s="5">
        <f t="shared" si="9"/>
        <v>0.68409109285462566</v>
      </c>
      <c r="G74" s="4">
        <f t="shared" si="14"/>
        <v>0.39171656686626749</v>
      </c>
      <c r="H74" s="5">
        <f t="shared" si="10"/>
        <v>0.31590890714537434</v>
      </c>
      <c r="I74">
        <f t="shared" si="15"/>
        <v>5.8815936727879778</v>
      </c>
    </row>
    <row r="75" spans="1:9" x14ac:dyDescent="0.25">
      <c r="A75" s="3">
        <v>294.70344827586206</v>
      </c>
      <c r="B75" s="3">
        <v>417.49655172413793</v>
      </c>
      <c r="C75" s="5">
        <f t="shared" si="11"/>
        <v>5.6859695906452039</v>
      </c>
      <c r="D75" s="5">
        <f t="shared" si="12"/>
        <v>6.0342762849134193</v>
      </c>
      <c r="E75" s="5">
        <f t="shared" si="13"/>
        <v>0.58620689655172409</v>
      </c>
      <c r="F75" s="5">
        <f t="shared" si="9"/>
        <v>0.7034920296541638</v>
      </c>
      <c r="G75" s="4">
        <f t="shared" si="14"/>
        <v>0.4137931034482758</v>
      </c>
      <c r="H75" s="5">
        <f t="shared" si="10"/>
        <v>0.29650797034583615</v>
      </c>
      <c r="I75">
        <f t="shared" si="15"/>
        <v>6.171515602341997</v>
      </c>
    </row>
    <row r="76" spans="1:9" x14ac:dyDescent="0.25">
      <c r="A76" s="3">
        <v>74.913130699088157</v>
      </c>
      <c r="B76" s="3">
        <v>45.166869300911856</v>
      </c>
      <c r="C76" s="5">
        <f t="shared" si="11"/>
        <v>4.3163291848923722</v>
      </c>
      <c r="D76" s="5">
        <f t="shared" si="12"/>
        <v>3.8103638380086342</v>
      </c>
      <c r="E76" s="5">
        <f t="shared" si="13"/>
        <v>0.37613981762917931</v>
      </c>
      <c r="F76" s="5">
        <f t="shared" si="9"/>
        <v>0.558221660049392</v>
      </c>
      <c r="G76" s="4">
        <f t="shared" si="14"/>
        <v>0.62386018237082075</v>
      </c>
      <c r="H76" s="5">
        <f t="shared" si="10"/>
        <v>0.441778339950608</v>
      </c>
      <c r="I76">
        <f t="shared" si="15"/>
        <v>4.1718406099428629</v>
      </c>
    </row>
    <row r="77" spans="1:9" x14ac:dyDescent="0.25">
      <c r="A77" s="3">
        <v>69.617142857142852</v>
      </c>
      <c r="B77" s="3">
        <v>49.42285714285714</v>
      </c>
      <c r="C77" s="5">
        <f t="shared" si="11"/>
        <v>4.243010842430893</v>
      </c>
      <c r="D77" s="5">
        <f t="shared" si="12"/>
        <v>3.9004130123829976</v>
      </c>
      <c r="E77" s="5">
        <f t="shared" si="13"/>
        <v>0.41517857142857145</v>
      </c>
      <c r="F77" s="5">
        <f t="shared" si="9"/>
        <v>0.54988880262861128</v>
      </c>
      <c r="G77" s="4">
        <f t="shared" si="14"/>
        <v>0.5848214285714286</v>
      </c>
      <c r="H77" s="5">
        <f t="shared" si="10"/>
        <v>0.45011119737138866</v>
      </c>
      <c r="I77">
        <f t="shared" si="15"/>
        <v>4.0647958299491034</v>
      </c>
    </row>
    <row r="78" spans="1:9" x14ac:dyDescent="0.25">
      <c r="A78" s="3">
        <v>51.052158054711249</v>
      </c>
      <c r="B78" s="3">
        <v>36.427841945288755</v>
      </c>
      <c r="C78" s="5">
        <f t="shared" si="11"/>
        <v>3.9328478170709769</v>
      </c>
      <c r="D78" s="5">
        <f t="shared" si="12"/>
        <v>3.59533337087132</v>
      </c>
      <c r="E78" s="5">
        <f t="shared" si="13"/>
        <v>0.41641337386018235</v>
      </c>
      <c r="F78" s="5">
        <f t="shared" si="9"/>
        <v>0.51438263899317793</v>
      </c>
      <c r="G78" s="4">
        <f t="shared" si="14"/>
        <v>0.5835866261398176</v>
      </c>
      <c r="H78" s="5">
        <f t="shared" si="10"/>
        <v>0.48561736100682207</v>
      </c>
      <c r="I78">
        <f t="shared" si="15"/>
        <v>3.6119578129236265</v>
      </c>
    </row>
    <row r="79" spans="1:9" x14ac:dyDescent="0.25">
      <c r="A79" s="3">
        <v>49.361872791519431</v>
      </c>
      <c r="B79" s="3">
        <v>34.918127208480563</v>
      </c>
      <c r="C79" s="5">
        <f t="shared" si="11"/>
        <v>3.8991783203587227</v>
      </c>
      <c r="D79" s="5">
        <f t="shared" si="12"/>
        <v>3.5530060986191394</v>
      </c>
      <c r="E79" s="5">
        <f t="shared" si="13"/>
        <v>0.41431095406360419</v>
      </c>
      <c r="F79" s="5">
        <f t="shared" si="9"/>
        <v>0.51051306609090763</v>
      </c>
      <c r="G79" s="4">
        <f t="shared" si="14"/>
        <v>0.5856890459363957</v>
      </c>
      <c r="H79" s="5">
        <f t="shared" si="10"/>
        <v>0.48948693390909231</v>
      </c>
      <c r="I79">
        <f t="shared" si="15"/>
        <v>3.5628003477237353</v>
      </c>
    </row>
    <row r="80" spans="1:9" x14ac:dyDescent="0.25">
      <c r="A80" s="3">
        <v>92.899409131602511</v>
      </c>
      <c r="B80" s="3">
        <v>76.380590868397491</v>
      </c>
      <c r="C80" s="5">
        <f t="shared" si="11"/>
        <v>4.5315172855369452</v>
      </c>
      <c r="D80" s="5">
        <f t="shared" si="12"/>
        <v>4.3357286176721024</v>
      </c>
      <c r="E80" s="5">
        <f t="shared" si="13"/>
        <v>0.45120859444941808</v>
      </c>
      <c r="F80" s="5">
        <f t="shared" si="9"/>
        <v>0.58247318665255121</v>
      </c>
      <c r="G80" s="4">
        <f t="shared" si="14"/>
        <v>0.54879140555058192</v>
      </c>
      <c r="H80" s="5">
        <f t="shared" si="10"/>
        <v>0.41752681334744879</v>
      </c>
      <c r="I80">
        <f t="shared" si="15"/>
        <v>4.4860152368839401</v>
      </c>
    </row>
    <row r="81" spans="1:9" x14ac:dyDescent="0.25">
      <c r="A81" s="3">
        <v>104.57057356608478</v>
      </c>
      <c r="B81" s="3">
        <v>95.109426433915218</v>
      </c>
      <c r="C81" s="5">
        <f t="shared" si="11"/>
        <v>4.6498621885919622</v>
      </c>
      <c r="D81" s="5">
        <f t="shared" si="12"/>
        <v>4.5550280859211236</v>
      </c>
      <c r="E81" s="5">
        <f t="shared" si="13"/>
        <v>0.47630922693266836</v>
      </c>
      <c r="F81" s="5">
        <f t="shared" si="9"/>
        <v>0.59565015312564129</v>
      </c>
      <c r="G81" s="4">
        <f t="shared" si="14"/>
        <v>0.52369077306733158</v>
      </c>
      <c r="H81" s="5">
        <f t="shared" si="10"/>
        <v>0.40434984687435865</v>
      </c>
      <c r="I81">
        <f t="shared" si="15"/>
        <v>4.6587987953442651</v>
      </c>
    </row>
    <row r="82" spans="1:9" x14ac:dyDescent="0.25">
      <c r="A82" s="3">
        <v>148.21261511728932</v>
      </c>
      <c r="B82" s="3">
        <v>127.8273848827107</v>
      </c>
      <c r="C82" s="5">
        <f t="shared" si="11"/>
        <v>4.998647831488209</v>
      </c>
      <c r="D82" s="5">
        <f t="shared" si="12"/>
        <v>4.8506807981963629</v>
      </c>
      <c r="E82" s="5">
        <f t="shared" si="13"/>
        <v>0.46307558644656821</v>
      </c>
      <c r="F82" s="5">
        <f t="shared" si="9"/>
        <v>0.63362837547535134</v>
      </c>
      <c r="G82" s="4">
        <f t="shared" si="14"/>
        <v>0.53692441355343179</v>
      </c>
      <c r="H82" s="5">
        <f t="shared" si="10"/>
        <v>0.36637162452464866</v>
      </c>
      <c r="I82">
        <f t="shared" si="15"/>
        <v>5.1680258339727851</v>
      </c>
    </row>
    <row r="83" spans="1:9" x14ac:dyDescent="0.25">
      <c r="A83" s="3">
        <v>111.98345975948196</v>
      </c>
      <c r="B83" s="3">
        <v>95.656540240518055</v>
      </c>
      <c r="C83" s="5">
        <f t="shared" si="11"/>
        <v>4.7183511796703126</v>
      </c>
      <c r="D83" s="5">
        <f t="shared" si="12"/>
        <v>4.5607640703444732</v>
      </c>
      <c r="E83" s="5">
        <f t="shared" si="13"/>
        <v>0.46068455134135067</v>
      </c>
      <c r="F83" s="5">
        <f t="shared" si="9"/>
        <v>0.6032147287931181</v>
      </c>
      <c r="G83" s="4">
        <f t="shared" si="14"/>
        <v>0.53931544865864933</v>
      </c>
      <c r="H83" s="5">
        <f t="shared" si="10"/>
        <v>0.3967852712068819</v>
      </c>
      <c r="I83">
        <f t="shared" si="15"/>
        <v>4.7587927223186561</v>
      </c>
    </row>
    <row r="84" spans="1:9" x14ac:dyDescent="0.25">
      <c r="A84" s="3">
        <v>215.47566331832351</v>
      </c>
      <c r="B84" s="3">
        <v>326.40433668167645</v>
      </c>
      <c r="C84" s="5">
        <f t="shared" si="11"/>
        <v>5.3728479719291125</v>
      </c>
      <c r="D84" s="5">
        <f t="shared" si="12"/>
        <v>5.7881369094038835</v>
      </c>
      <c r="E84" s="5">
        <f t="shared" si="13"/>
        <v>0.60235538621406304</v>
      </c>
      <c r="F84" s="5">
        <f t="shared" si="9"/>
        <v>0.67259523651249764</v>
      </c>
      <c r="G84" s="4">
        <f t="shared" si="14"/>
        <v>0.39764461378593696</v>
      </c>
      <c r="H84" s="5">
        <f t="shared" si="10"/>
        <v>0.3274047634875023</v>
      </c>
      <c r="I84">
        <f t="shared" si="15"/>
        <v>5.7143580390165045</v>
      </c>
    </row>
    <row r="85" spans="1:9" x14ac:dyDescent="0.25">
      <c r="A85" s="3">
        <v>209.17792392005157</v>
      </c>
      <c r="B85" s="3">
        <v>304.9820760799484</v>
      </c>
      <c r="C85" s="5">
        <f t="shared" si="11"/>
        <v>5.3431852004277047</v>
      </c>
      <c r="D85" s="5">
        <f t="shared" si="12"/>
        <v>5.7202530079295775</v>
      </c>
      <c r="E85" s="5">
        <f t="shared" si="13"/>
        <v>0.59316569954867826</v>
      </c>
      <c r="F85" s="5">
        <f t="shared" si="9"/>
        <v>0.669583440373128</v>
      </c>
      <c r="G85" s="4">
        <f t="shared" si="14"/>
        <v>0.40683430045132174</v>
      </c>
      <c r="H85" s="5">
        <f t="shared" si="10"/>
        <v>0.33041655962687194</v>
      </c>
      <c r="I85">
        <f t="shared" si="15"/>
        <v>5.6710503926244487</v>
      </c>
    </row>
    <row r="86" spans="1:9" x14ac:dyDescent="0.25">
      <c r="A86" s="3">
        <v>145.51530218602656</v>
      </c>
      <c r="B86" s="3">
        <v>189.28469781397339</v>
      </c>
      <c r="C86" s="5">
        <f t="shared" si="11"/>
        <v>4.9802812507450183</v>
      </c>
      <c r="D86" s="5">
        <f t="shared" si="12"/>
        <v>5.2432522193112048</v>
      </c>
      <c r="E86" s="5">
        <f t="shared" si="13"/>
        <v>0.56536648092584652</v>
      </c>
      <c r="F86" s="5">
        <f t="shared" si="9"/>
        <v>0.6316648768974884</v>
      </c>
      <c r="G86" s="4">
        <f t="shared" si="14"/>
        <v>0.43463351907415348</v>
      </c>
      <c r="H86" s="5">
        <f t="shared" si="10"/>
        <v>0.3683351231025116</v>
      </c>
      <c r="I86">
        <f t="shared" si="15"/>
        <v>5.1412106260877266</v>
      </c>
    </row>
    <row r="87" spans="1:9" x14ac:dyDescent="0.25">
      <c r="A87" s="3">
        <v>164.26901912399757</v>
      </c>
      <c r="B87" s="3">
        <v>226.17098087600249</v>
      </c>
      <c r="C87" s="5">
        <f t="shared" si="11"/>
        <v>5.1015054444145509</v>
      </c>
      <c r="D87" s="5">
        <f t="shared" si="12"/>
        <v>5.4212912657793515</v>
      </c>
      <c r="E87" s="5">
        <f t="shared" si="13"/>
        <v>0.57927205428747686</v>
      </c>
      <c r="F87" s="5">
        <f t="shared" si="9"/>
        <v>0.64454109546038896</v>
      </c>
      <c r="G87" s="4">
        <f t="shared" si="14"/>
        <v>0.42072794571252314</v>
      </c>
      <c r="H87" s="5">
        <f t="shared" si="10"/>
        <v>0.3554589045396111</v>
      </c>
      <c r="I87">
        <f t="shared" si="15"/>
        <v>5.3181979488452447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g_</vt:lpstr>
      <vt:lpstr>h_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Henning Kage</dc:creator>
  <cp:lastModifiedBy>Henning Kage</cp:lastModifiedBy>
  <dcterms:created xsi:type="dcterms:W3CDTF">2024-05-18T13:26:03Z</dcterms:created>
  <dcterms:modified xsi:type="dcterms:W3CDTF">2024-05-22T10:31:19Z</dcterms:modified>
</cp:coreProperties>
</file>