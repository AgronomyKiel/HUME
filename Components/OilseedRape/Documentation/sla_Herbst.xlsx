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HUME\HUME\Components\OilseedRape\Documentation\"/>
    </mc:Choice>
  </mc:AlternateContent>
  <xr:revisionPtr revIDLastSave="0" documentId="13_ncr:1_{6247BD61-7A18-4A26-844A-ADF486662EA7}" xr6:coauthVersionLast="45" xr6:coauthVersionMax="45" xr10:uidLastSave="{00000000-0000-0000-0000-000000000000}"/>
  <bookViews>
    <workbookView xWindow="23880" yWindow="-120" windowWidth="24240" windowHeight="13140" xr2:uid="{C3575C91-FE8A-47DB-A466-9BB2964EA30D}"/>
  </bookViews>
  <sheets>
    <sheet name="Tabelle1" sheetId="1" r:id="rId1"/>
  </sheets>
  <definedNames>
    <definedName name="SLAhin">Tabelle1!$G$2</definedName>
    <definedName name="SLAhst">Tabelle1!$D$2</definedName>
    <definedName name="SLAhst_max">Tabelle1!$J$2</definedName>
    <definedName name="SLAhst_min">Tabelle1!$I$2</definedName>
    <definedName name="SLAmax">Tabelle1!$F$2</definedName>
    <definedName name="SLAmin">Tabelle1!$E$2</definedName>
    <definedName name="Tsum">Tabelle1!$C$5:$C$61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5" i="1"/>
  <c r="D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</calcChain>
</file>

<file path=xl/sharedStrings.xml><?xml version="1.0" encoding="utf-8"?>
<sst xmlns="http://schemas.openxmlformats.org/spreadsheetml/2006/main" count="8" uniqueCount="8">
  <si>
    <t>Tsum</t>
  </si>
  <si>
    <t>SLAhst</t>
  </si>
  <si>
    <t>SLAmin</t>
  </si>
  <si>
    <t>SLAmax</t>
  </si>
  <si>
    <t>SLAhin</t>
  </si>
  <si>
    <t>SLA</t>
  </si>
  <si>
    <t>SLAhst_min</t>
  </si>
  <si>
    <t>SLAhst_max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</si>
</sst>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Tabelle1!$D$4</c:f>
              <c:strCache>
                <c:ptCount val="1"/>
                <c:pt idx="0">
                  <c:v>SLA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Tabelle1!$C$5:$C$61</c:f>
              <c:numCache>
                <c:formatCode>General</c:formatCode>
                <c:ptCount val="5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</c:numCache>
            </c:numRef>
          </c:xVal>
          <c:yVal>
            <c:numRef>
              <c:f>Tabelle1!$D$5:$D$61</c:f>
              <c:numCache>
                <c:formatCode>0.00</c:formatCode>
                <c:ptCount val="5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349.67685</c:v>
                </c:pt>
                <c:pt idx="11">
                  <c:v>343.89373499999999</c:v>
                </c:pt>
                <c:pt idx="12">
                  <c:v>338.11061999999998</c:v>
                </c:pt>
                <c:pt idx="13">
                  <c:v>332.32750499999997</c:v>
                </c:pt>
                <c:pt idx="14">
                  <c:v>326.54438999999996</c:v>
                </c:pt>
                <c:pt idx="15">
                  <c:v>320.76127499999996</c:v>
                </c:pt>
                <c:pt idx="16">
                  <c:v>314.97816</c:v>
                </c:pt>
                <c:pt idx="17">
                  <c:v>309.19504499999999</c:v>
                </c:pt>
                <c:pt idx="18">
                  <c:v>303.41192999999998</c:v>
                </c:pt>
                <c:pt idx="19">
                  <c:v>297.62881499999997</c:v>
                </c:pt>
                <c:pt idx="20">
                  <c:v>291.84569999999997</c:v>
                </c:pt>
                <c:pt idx="21">
                  <c:v>286.06258499999996</c:v>
                </c:pt>
                <c:pt idx="22">
                  <c:v>280.27946999999995</c:v>
                </c:pt>
                <c:pt idx="23">
                  <c:v>274.49635499999999</c:v>
                </c:pt>
                <c:pt idx="24">
                  <c:v>268.71323999999998</c:v>
                </c:pt>
                <c:pt idx="25">
                  <c:v>262.93012499999998</c:v>
                </c:pt>
                <c:pt idx="26">
                  <c:v>257.14700999999997</c:v>
                </c:pt>
                <c:pt idx="27">
                  <c:v>251.36389499999999</c:v>
                </c:pt>
                <c:pt idx="28">
                  <c:v>245.58077999999998</c:v>
                </c:pt>
                <c:pt idx="29">
                  <c:v>239.79766499999997</c:v>
                </c:pt>
                <c:pt idx="30">
                  <c:v>234.01454999999996</c:v>
                </c:pt>
                <c:pt idx="31">
                  <c:v>228.23143499999998</c:v>
                </c:pt>
                <c:pt idx="32">
                  <c:v>222.44831999999997</c:v>
                </c:pt>
                <c:pt idx="33">
                  <c:v>216.66520499999996</c:v>
                </c:pt>
                <c:pt idx="34">
                  <c:v>210.88208999999998</c:v>
                </c:pt>
                <c:pt idx="35">
                  <c:v>205.09897499999997</c:v>
                </c:pt>
                <c:pt idx="36">
                  <c:v>199.31585999999996</c:v>
                </c:pt>
                <c:pt idx="37">
                  <c:v>193.53274499999998</c:v>
                </c:pt>
                <c:pt idx="38">
                  <c:v>187.74962999999997</c:v>
                </c:pt>
                <c:pt idx="39">
                  <c:v>181.96651499999996</c:v>
                </c:pt>
                <c:pt idx="40">
                  <c:v>176.18339999999998</c:v>
                </c:pt>
                <c:pt idx="41">
                  <c:v>170.40028499999997</c:v>
                </c:pt>
                <c:pt idx="42">
                  <c:v>164.61716999999996</c:v>
                </c:pt>
                <c:pt idx="43">
                  <c:v>158.83405499999998</c:v>
                </c:pt>
                <c:pt idx="44">
                  <c:v>153.05093999999997</c:v>
                </c:pt>
                <c:pt idx="45">
                  <c:v>147.26782499999996</c:v>
                </c:pt>
                <c:pt idx="46">
                  <c:v>141.48470999999995</c:v>
                </c:pt>
                <c:pt idx="47">
                  <c:v>135.70159499999994</c:v>
                </c:pt>
                <c:pt idx="48">
                  <c:v>129.91847999999999</c:v>
                </c:pt>
                <c:pt idx="49">
                  <c:v>124.13536499999998</c:v>
                </c:pt>
                <c:pt idx="50">
                  <c:v>118.35224999999997</c:v>
                </c:pt>
                <c:pt idx="51">
                  <c:v>112.56913499999996</c:v>
                </c:pt>
                <c:pt idx="52">
                  <c:v>106.78601999999995</c:v>
                </c:pt>
                <c:pt idx="53">
                  <c:v>101.00290499999994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DB-4277-BD1F-A4B9DA7BD850}"/>
            </c:ext>
          </c:extLst>
        </c:ser>
        <c:ser>
          <c:idx val="1"/>
          <c:order val="1"/>
          <c:tx>
            <c:v>min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Tabelle1!$C$5:$C$61</c:f>
              <c:numCache>
                <c:formatCode>General</c:formatCode>
                <c:ptCount val="5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</c:numCache>
            </c:numRef>
          </c:xVal>
          <c:yVal>
            <c:numRef>
              <c:f>Tabelle1!$I$5:$I$61</c:f>
              <c:numCache>
                <c:formatCode>0.00</c:formatCode>
                <c:ptCount val="5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347.36415</c:v>
                </c:pt>
                <c:pt idx="14">
                  <c:v>342.73770000000002</c:v>
                </c:pt>
                <c:pt idx="15">
                  <c:v>338.11124999999998</c:v>
                </c:pt>
                <c:pt idx="16">
                  <c:v>333.48479999999995</c:v>
                </c:pt>
                <c:pt idx="17">
                  <c:v>328.85834999999997</c:v>
                </c:pt>
                <c:pt idx="18">
                  <c:v>324.2319</c:v>
                </c:pt>
                <c:pt idx="19">
                  <c:v>319.60545000000002</c:v>
                </c:pt>
                <c:pt idx="20">
                  <c:v>314.97899999999998</c:v>
                </c:pt>
                <c:pt idx="21">
                  <c:v>310.35255000000001</c:v>
                </c:pt>
                <c:pt idx="22">
                  <c:v>305.72609999999997</c:v>
                </c:pt>
                <c:pt idx="23">
                  <c:v>301.09965</c:v>
                </c:pt>
                <c:pt idx="24">
                  <c:v>296.47320000000002</c:v>
                </c:pt>
                <c:pt idx="25">
                  <c:v>291.84674999999999</c:v>
                </c:pt>
                <c:pt idx="26">
                  <c:v>287.22030000000001</c:v>
                </c:pt>
                <c:pt idx="27">
                  <c:v>282.59384999999997</c:v>
                </c:pt>
                <c:pt idx="28">
                  <c:v>277.9674</c:v>
                </c:pt>
                <c:pt idx="29">
                  <c:v>273.34095000000002</c:v>
                </c:pt>
                <c:pt idx="30">
                  <c:v>268.71449999999999</c:v>
                </c:pt>
                <c:pt idx="31">
                  <c:v>264.08804999999995</c:v>
                </c:pt>
                <c:pt idx="32">
                  <c:v>259.46159999999998</c:v>
                </c:pt>
                <c:pt idx="33">
                  <c:v>254.83515</c:v>
                </c:pt>
                <c:pt idx="34">
                  <c:v>250.20869999999999</c:v>
                </c:pt>
                <c:pt idx="35">
                  <c:v>245.58224999999999</c:v>
                </c:pt>
                <c:pt idx="36">
                  <c:v>240.95579999999998</c:v>
                </c:pt>
                <c:pt idx="37">
                  <c:v>236.32935000000001</c:v>
                </c:pt>
                <c:pt idx="38">
                  <c:v>231.7029</c:v>
                </c:pt>
                <c:pt idx="39">
                  <c:v>227.07644999999999</c:v>
                </c:pt>
                <c:pt idx="40">
                  <c:v>222.45</c:v>
                </c:pt>
                <c:pt idx="41">
                  <c:v>217.82354999999998</c:v>
                </c:pt>
                <c:pt idx="42">
                  <c:v>213.19710000000001</c:v>
                </c:pt>
                <c:pt idx="43">
                  <c:v>208.57065</c:v>
                </c:pt>
                <c:pt idx="44">
                  <c:v>203.9442</c:v>
                </c:pt>
                <c:pt idx="45">
                  <c:v>199.31774999999999</c:v>
                </c:pt>
                <c:pt idx="46">
                  <c:v>194.69129999999998</c:v>
                </c:pt>
                <c:pt idx="47">
                  <c:v>190.06485000000001</c:v>
                </c:pt>
                <c:pt idx="48">
                  <c:v>185.4384</c:v>
                </c:pt>
                <c:pt idx="49">
                  <c:v>180.81195</c:v>
                </c:pt>
                <c:pt idx="50">
                  <c:v>176.18549999999999</c:v>
                </c:pt>
                <c:pt idx="51">
                  <c:v>171.55904999999998</c:v>
                </c:pt>
                <c:pt idx="52">
                  <c:v>166.93260000000001</c:v>
                </c:pt>
                <c:pt idx="53">
                  <c:v>162.30615</c:v>
                </c:pt>
                <c:pt idx="54">
                  <c:v>157.6797</c:v>
                </c:pt>
                <c:pt idx="55">
                  <c:v>153.05324999999999</c:v>
                </c:pt>
                <c:pt idx="56">
                  <c:v>148.42680000000001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23-4767-8516-1C58309429F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Tabelle1!$C$5:$C$61</c:f>
              <c:numCache>
                <c:formatCode>General</c:formatCode>
                <c:ptCount val="5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</c:numCache>
            </c:numRef>
          </c:xVal>
          <c:yVal>
            <c:numRef>
              <c:f>Tabelle1!$J$5:$J$61</c:f>
              <c:numCache>
                <c:formatCode>0.00</c:formatCode>
                <c:ptCount val="5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345.05025000000001</c:v>
                </c:pt>
                <c:pt idx="10">
                  <c:v>338.1105</c:v>
                </c:pt>
                <c:pt idx="11">
                  <c:v>331.17075</c:v>
                </c:pt>
                <c:pt idx="12">
                  <c:v>324.23099999999999</c:v>
                </c:pt>
                <c:pt idx="13">
                  <c:v>317.29124999999999</c:v>
                </c:pt>
                <c:pt idx="14">
                  <c:v>310.35149999999999</c:v>
                </c:pt>
                <c:pt idx="15">
                  <c:v>303.41174999999998</c:v>
                </c:pt>
                <c:pt idx="16">
                  <c:v>296.47199999999998</c:v>
                </c:pt>
                <c:pt idx="17">
                  <c:v>289.53224999999998</c:v>
                </c:pt>
                <c:pt idx="18">
                  <c:v>282.59249999999997</c:v>
                </c:pt>
                <c:pt idx="19">
                  <c:v>275.65274999999997</c:v>
                </c:pt>
                <c:pt idx="20">
                  <c:v>268.71299999999997</c:v>
                </c:pt>
                <c:pt idx="21">
                  <c:v>261.77324999999996</c:v>
                </c:pt>
                <c:pt idx="22">
                  <c:v>254.83349999999999</c:v>
                </c:pt>
                <c:pt idx="23">
                  <c:v>247.89374999999998</c:v>
                </c:pt>
                <c:pt idx="24">
                  <c:v>240.95399999999998</c:v>
                </c:pt>
                <c:pt idx="25">
                  <c:v>234.01424999999998</c:v>
                </c:pt>
                <c:pt idx="26">
                  <c:v>227.07449999999997</c:v>
                </c:pt>
                <c:pt idx="27">
                  <c:v>220.13474999999997</c:v>
                </c:pt>
                <c:pt idx="28">
                  <c:v>213.19499999999999</c:v>
                </c:pt>
                <c:pt idx="29">
                  <c:v>206.25524999999999</c:v>
                </c:pt>
                <c:pt idx="30">
                  <c:v>199.31549999999999</c:v>
                </c:pt>
                <c:pt idx="31">
                  <c:v>192.37574999999998</c:v>
                </c:pt>
                <c:pt idx="32">
                  <c:v>185.43599999999998</c:v>
                </c:pt>
                <c:pt idx="33">
                  <c:v>178.49624999999997</c:v>
                </c:pt>
                <c:pt idx="34">
                  <c:v>171.55649999999997</c:v>
                </c:pt>
                <c:pt idx="35">
                  <c:v>164.61674999999997</c:v>
                </c:pt>
                <c:pt idx="36">
                  <c:v>157.67699999999996</c:v>
                </c:pt>
                <c:pt idx="37">
                  <c:v>150.73724999999996</c:v>
                </c:pt>
                <c:pt idx="38">
                  <c:v>143.79749999999996</c:v>
                </c:pt>
                <c:pt idx="39">
                  <c:v>136.85774999999995</c:v>
                </c:pt>
                <c:pt idx="40">
                  <c:v>129.91799999999995</c:v>
                </c:pt>
                <c:pt idx="41">
                  <c:v>122.97825</c:v>
                </c:pt>
                <c:pt idx="42">
                  <c:v>116.0385</c:v>
                </c:pt>
                <c:pt idx="43">
                  <c:v>109.09875</c:v>
                </c:pt>
                <c:pt idx="44">
                  <c:v>102.15899999999999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23-4767-8516-1C583094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217295"/>
        <c:axId val="701797935"/>
      </c:scatterChart>
      <c:valAx>
        <c:axId val="70321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1797935"/>
        <c:crosses val="autoZero"/>
        <c:crossBetween val="midCat"/>
      </c:valAx>
      <c:valAx>
        <c:axId val="7017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3217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685799</xdr:colOff>
      <xdr:row>3</xdr:row>
      <xdr:rowOff>109536</xdr:rowOff>
    </xdr:from>
    <xdr:to>
      <xdr:col>17</xdr:col>
      <xdr:colOff>180974</xdr:colOff>
      <xdr:row>22</xdr:row>
      <xdr:rowOff>95249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95553BF-3A9D-44F0-B869-6437A12F3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03A2-1DC3-49CF-BD99-CCFE3F33F8E6}">
  <dimension ref="C1:J61"/>
  <sheetViews>
    <sheetView tabSelected="1" workbookViewId="0">
      <selection activeCell="G8" sqref="G8"/>
    </sheetView>
  </sheetViews>
  <sheetFormatPr baseColWidth="10" defaultRowHeight="15" x14ac:dyDescent="0.25"/>
  <sheetData>
    <row r="1" spans="3:10" x14ac:dyDescent="0.25">
      <c r="D1" t="s">
        <v>1</v>
      </c>
      <c r="E1" t="s">
        <v>2</v>
      </c>
      <c r="F1" t="s">
        <v>3</v>
      </c>
      <c r="G1" t="s">
        <v>4</v>
      </c>
      <c r="I1" t="s">
        <v>6</v>
      </c>
      <c r="J1" t="s">
        <v>7</v>
      </c>
    </row>
    <row r="2" spans="3:10" x14ac:dyDescent="0.25">
      <c r="D2">
        <v>-0.38554100000000002</v>
      </c>
      <c r="E2">
        <v>100</v>
      </c>
      <c r="F2">
        <v>350</v>
      </c>
      <c r="G2">
        <v>407.50799999999998</v>
      </c>
      <c r="I2" s="2">
        <v>-0.30842999999999998</v>
      </c>
      <c r="J2" s="2">
        <v>-0.46265000000000001</v>
      </c>
    </row>
    <row r="4" spans="3:10" x14ac:dyDescent="0.25">
      <c r="C4" t="s">
        <v>0</v>
      </c>
      <c r="D4" t="s">
        <v>5</v>
      </c>
    </row>
    <row r="5" spans="3:10" x14ac:dyDescent="0.25">
      <c r="C5">
        <v>0</v>
      </c>
      <c r="D5" s="1">
        <f>MAX(SLAmin, MIN(SLAmax,SLAhst*C5+SLAhin))</f>
        <v>350</v>
      </c>
      <c r="I5" s="1">
        <f>MAX(SLAmin, MIN(SLAmax,SLAhst_min*C5+SLAhin))</f>
        <v>350</v>
      </c>
      <c r="J5" s="1">
        <f>MAX(SLAmin, MIN(SLAmax,SLAhst_max*C5+SLAhin))</f>
        <v>350</v>
      </c>
    </row>
    <row r="6" spans="3:10" x14ac:dyDescent="0.25">
      <c r="C6">
        <v>15</v>
      </c>
      <c r="D6" s="1">
        <f t="shared" ref="D5:D36" si="0">MAX(SLAmin, MIN(SLAmax,SLAhst*C6+SLAhin))</f>
        <v>350</v>
      </c>
      <c r="I6" s="1">
        <f>MAX(SLAmin, MIN(SLAmax,SLAhst_min*C6+SLAhin))</f>
        <v>350</v>
      </c>
      <c r="J6" s="1">
        <f>MAX(SLAmin, MIN(SLAmax,SLAhst_max*C6+SLAhin))</f>
        <v>350</v>
      </c>
    </row>
    <row r="7" spans="3:10" x14ac:dyDescent="0.25">
      <c r="C7">
        <v>30</v>
      </c>
      <c r="D7" s="1">
        <f t="shared" si="0"/>
        <v>350</v>
      </c>
      <c r="I7" s="1">
        <f>MAX(SLAmin, MIN(SLAmax,SLAhst_min*C7+SLAhin))</f>
        <v>350</v>
      </c>
      <c r="J7" s="1">
        <f>MAX(SLAmin, MIN(SLAmax,SLAhst_max*C7+SLAhin))</f>
        <v>350</v>
      </c>
    </row>
    <row r="8" spans="3:10" x14ac:dyDescent="0.25">
      <c r="C8">
        <v>45</v>
      </c>
      <c r="D8" s="1">
        <f t="shared" si="0"/>
        <v>350</v>
      </c>
      <c r="I8" s="1">
        <f>MAX(SLAmin, MIN(SLAmax,SLAhst_min*C8+SLAhin))</f>
        <v>350</v>
      </c>
      <c r="J8" s="1">
        <f>MAX(SLAmin, MIN(SLAmax,SLAhst_max*C8+SLAhin))</f>
        <v>350</v>
      </c>
    </row>
    <row r="9" spans="3:10" x14ac:dyDescent="0.25">
      <c r="C9">
        <v>60</v>
      </c>
      <c r="D9" s="1">
        <f t="shared" si="0"/>
        <v>350</v>
      </c>
      <c r="I9" s="1">
        <f>MAX(SLAmin, MIN(SLAmax,SLAhst_min*C9+SLAhin))</f>
        <v>350</v>
      </c>
      <c r="J9" s="1">
        <f>MAX(SLAmin, MIN(SLAmax,SLAhst_max*C9+SLAhin))</f>
        <v>350</v>
      </c>
    </row>
    <row r="10" spans="3:10" x14ac:dyDescent="0.25">
      <c r="C10">
        <v>75</v>
      </c>
      <c r="D10" s="1">
        <f t="shared" si="0"/>
        <v>350</v>
      </c>
      <c r="I10" s="1">
        <f>MAX(SLAmin, MIN(SLAmax,SLAhst_min*C10+SLAhin))</f>
        <v>350</v>
      </c>
      <c r="J10" s="1">
        <f>MAX(SLAmin, MIN(SLAmax,SLAhst_max*C10+SLAhin))</f>
        <v>350</v>
      </c>
    </row>
    <row r="11" spans="3:10" x14ac:dyDescent="0.25">
      <c r="C11">
        <v>90</v>
      </c>
      <c r="D11" s="1">
        <f t="shared" si="0"/>
        <v>350</v>
      </c>
      <c r="I11" s="1">
        <f>MAX(SLAmin, MIN(SLAmax,SLAhst_min*C11+SLAhin))</f>
        <v>350</v>
      </c>
      <c r="J11" s="1">
        <f>MAX(SLAmin, MIN(SLAmax,SLAhst_max*C11+SLAhin))</f>
        <v>350</v>
      </c>
    </row>
    <row r="12" spans="3:10" x14ac:dyDescent="0.25">
      <c r="C12">
        <v>105</v>
      </c>
      <c r="D12" s="1">
        <f t="shared" si="0"/>
        <v>350</v>
      </c>
      <c r="I12" s="1">
        <f>MAX(SLAmin, MIN(SLAmax,SLAhst_min*C12+SLAhin))</f>
        <v>350</v>
      </c>
      <c r="J12" s="1">
        <f>MAX(SLAmin, MIN(SLAmax,SLAhst_max*C12+SLAhin))</f>
        <v>350</v>
      </c>
    </row>
    <row r="13" spans="3:10" x14ac:dyDescent="0.25">
      <c r="C13">
        <v>120</v>
      </c>
      <c r="D13" s="1">
        <f t="shared" si="0"/>
        <v>350</v>
      </c>
      <c r="I13" s="1">
        <f>MAX(SLAmin, MIN(SLAmax,SLAhst_min*C13+SLAhin))</f>
        <v>350</v>
      </c>
      <c r="J13" s="1">
        <f>MAX(SLAmin, MIN(SLAmax,SLAhst_max*C13+SLAhin))</f>
        <v>350</v>
      </c>
    </row>
    <row r="14" spans="3:10" x14ac:dyDescent="0.25">
      <c r="C14">
        <v>135</v>
      </c>
      <c r="D14" s="1">
        <f t="shared" si="0"/>
        <v>350</v>
      </c>
      <c r="I14" s="1">
        <f>MAX(SLAmin, MIN(SLAmax,SLAhst_min*C14+SLAhin))</f>
        <v>350</v>
      </c>
      <c r="J14" s="1">
        <f>MAX(SLAmin, MIN(SLAmax,SLAhst_max*C14+SLAhin))</f>
        <v>345.05025000000001</v>
      </c>
    </row>
    <row r="15" spans="3:10" x14ac:dyDescent="0.25">
      <c r="C15">
        <v>150</v>
      </c>
      <c r="D15" s="1">
        <f t="shared" si="0"/>
        <v>349.67685</v>
      </c>
      <c r="I15" s="1">
        <f>MAX(SLAmin, MIN(SLAmax,SLAhst_min*C15+SLAhin))</f>
        <v>350</v>
      </c>
      <c r="J15" s="1">
        <f>MAX(SLAmin, MIN(SLAmax,SLAhst_max*C15+SLAhin))</f>
        <v>338.1105</v>
      </c>
    </row>
    <row r="16" spans="3:10" x14ac:dyDescent="0.25">
      <c r="C16">
        <v>165</v>
      </c>
      <c r="D16" s="1">
        <f t="shared" si="0"/>
        <v>343.89373499999999</v>
      </c>
      <c r="I16" s="1">
        <f>MAX(SLAmin, MIN(SLAmax,SLAhst_min*C16+SLAhin))</f>
        <v>350</v>
      </c>
      <c r="J16" s="1">
        <f>MAX(SLAmin, MIN(SLAmax,SLAhst_max*C16+SLAhin))</f>
        <v>331.17075</v>
      </c>
    </row>
    <row r="17" spans="3:10" x14ac:dyDescent="0.25">
      <c r="C17">
        <v>180</v>
      </c>
      <c r="D17" s="1">
        <f t="shared" si="0"/>
        <v>338.11061999999998</v>
      </c>
      <c r="I17" s="1">
        <f>MAX(SLAmin, MIN(SLAmax,SLAhst_min*C17+SLAhin))</f>
        <v>350</v>
      </c>
      <c r="J17" s="1">
        <f>MAX(SLAmin, MIN(SLAmax,SLAhst_max*C17+SLAhin))</f>
        <v>324.23099999999999</v>
      </c>
    </row>
    <row r="18" spans="3:10" x14ac:dyDescent="0.25">
      <c r="C18">
        <v>195</v>
      </c>
      <c r="D18" s="1">
        <f t="shared" si="0"/>
        <v>332.32750499999997</v>
      </c>
      <c r="I18" s="1">
        <f>MAX(SLAmin, MIN(SLAmax,SLAhst_min*C18+SLAhin))</f>
        <v>347.36415</v>
      </c>
      <c r="J18" s="1">
        <f>MAX(SLAmin, MIN(SLAmax,SLAhst_max*C18+SLAhin))</f>
        <v>317.29124999999999</v>
      </c>
    </row>
    <row r="19" spans="3:10" x14ac:dyDescent="0.25">
      <c r="C19">
        <v>210</v>
      </c>
      <c r="D19" s="1">
        <f t="shared" si="0"/>
        <v>326.54438999999996</v>
      </c>
      <c r="I19" s="1">
        <f>MAX(SLAmin, MIN(SLAmax,SLAhst_min*C19+SLAhin))</f>
        <v>342.73770000000002</v>
      </c>
      <c r="J19" s="1">
        <f>MAX(SLAmin, MIN(SLAmax,SLAhst_max*C19+SLAhin))</f>
        <v>310.35149999999999</v>
      </c>
    </row>
    <row r="20" spans="3:10" x14ac:dyDescent="0.25">
      <c r="C20">
        <v>225</v>
      </c>
      <c r="D20" s="1">
        <f t="shared" si="0"/>
        <v>320.76127499999996</v>
      </c>
      <c r="I20" s="1">
        <f>MAX(SLAmin, MIN(SLAmax,SLAhst_min*C20+SLAhin))</f>
        <v>338.11124999999998</v>
      </c>
      <c r="J20" s="1">
        <f>MAX(SLAmin, MIN(SLAmax,SLAhst_max*C20+SLAhin))</f>
        <v>303.41174999999998</v>
      </c>
    </row>
    <row r="21" spans="3:10" x14ac:dyDescent="0.25">
      <c r="C21">
        <v>240</v>
      </c>
      <c r="D21" s="1">
        <f t="shared" si="0"/>
        <v>314.97816</v>
      </c>
      <c r="I21" s="1">
        <f>MAX(SLAmin, MIN(SLAmax,SLAhst_min*C21+SLAhin))</f>
        <v>333.48479999999995</v>
      </c>
      <c r="J21" s="1">
        <f>MAX(SLAmin, MIN(SLAmax,SLAhst_max*C21+SLAhin))</f>
        <v>296.47199999999998</v>
      </c>
    </row>
    <row r="22" spans="3:10" x14ac:dyDescent="0.25">
      <c r="C22">
        <v>255</v>
      </c>
      <c r="D22" s="1">
        <f t="shared" si="0"/>
        <v>309.19504499999999</v>
      </c>
      <c r="I22" s="1">
        <f>MAX(SLAmin, MIN(SLAmax,SLAhst_min*C22+SLAhin))</f>
        <v>328.85834999999997</v>
      </c>
      <c r="J22" s="1">
        <f>MAX(SLAmin, MIN(SLAmax,SLAhst_max*C22+SLAhin))</f>
        <v>289.53224999999998</v>
      </c>
    </row>
    <row r="23" spans="3:10" x14ac:dyDescent="0.25">
      <c r="C23">
        <v>270</v>
      </c>
      <c r="D23" s="1">
        <f t="shared" si="0"/>
        <v>303.41192999999998</v>
      </c>
      <c r="I23" s="1">
        <f>MAX(SLAmin, MIN(SLAmax,SLAhst_min*C23+SLAhin))</f>
        <v>324.2319</v>
      </c>
      <c r="J23" s="1">
        <f>MAX(SLAmin, MIN(SLAmax,SLAhst_max*C23+SLAhin))</f>
        <v>282.59249999999997</v>
      </c>
    </row>
    <row r="24" spans="3:10" x14ac:dyDescent="0.25">
      <c r="C24">
        <v>285</v>
      </c>
      <c r="D24" s="1">
        <f t="shared" si="0"/>
        <v>297.62881499999997</v>
      </c>
      <c r="I24" s="1">
        <f>MAX(SLAmin, MIN(SLAmax,SLAhst_min*C24+SLAhin))</f>
        <v>319.60545000000002</v>
      </c>
      <c r="J24" s="1">
        <f>MAX(SLAmin, MIN(SLAmax,SLAhst_max*C24+SLAhin))</f>
        <v>275.65274999999997</v>
      </c>
    </row>
    <row r="25" spans="3:10" x14ac:dyDescent="0.25">
      <c r="C25">
        <v>300</v>
      </c>
      <c r="D25" s="1">
        <f t="shared" si="0"/>
        <v>291.84569999999997</v>
      </c>
      <c r="I25" s="1">
        <f>MAX(SLAmin, MIN(SLAmax,SLAhst_min*C25+SLAhin))</f>
        <v>314.97899999999998</v>
      </c>
      <c r="J25" s="1">
        <f>MAX(SLAmin, MIN(SLAmax,SLAhst_max*C25+SLAhin))</f>
        <v>268.71299999999997</v>
      </c>
    </row>
    <row r="26" spans="3:10" x14ac:dyDescent="0.25">
      <c r="C26">
        <v>315</v>
      </c>
      <c r="D26" s="1">
        <f t="shared" si="0"/>
        <v>286.06258499999996</v>
      </c>
      <c r="I26" s="1">
        <f>MAX(SLAmin, MIN(SLAmax,SLAhst_min*C26+SLAhin))</f>
        <v>310.35255000000001</v>
      </c>
      <c r="J26" s="1">
        <f>MAX(SLAmin, MIN(SLAmax,SLAhst_max*C26+SLAhin))</f>
        <v>261.77324999999996</v>
      </c>
    </row>
    <row r="27" spans="3:10" x14ac:dyDescent="0.25">
      <c r="C27">
        <v>330</v>
      </c>
      <c r="D27" s="1">
        <f t="shared" si="0"/>
        <v>280.27946999999995</v>
      </c>
      <c r="I27" s="1">
        <f>MAX(SLAmin, MIN(SLAmax,SLAhst_min*C27+SLAhin))</f>
        <v>305.72609999999997</v>
      </c>
      <c r="J27" s="1">
        <f>MAX(SLAmin, MIN(SLAmax,SLAhst_max*C27+SLAhin))</f>
        <v>254.83349999999999</v>
      </c>
    </row>
    <row r="28" spans="3:10" x14ac:dyDescent="0.25">
      <c r="C28">
        <v>345</v>
      </c>
      <c r="D28" s="1">
        <f t="shared" si="0"/>
        <v>274.49635499999999</v>
      </c>
      <c r="I28" s="1">
        <f>MAX(SLAmin, MIN(SLAmax,SLAhst_min*C28+SLAhin))</f>
        <v>301.09965</v>
      </c>
      <c r="J28" s="1">
        <f>MAX(SLAmin, MIN(SLAmax,SLAhst_max*C28+SLAhin))</f>
        <v>247.89374999999998</v>
      </c>
    </row>
    <row r="29" spans="3:10" x14ac:dyDescent="0.25">
      <c r="C29">
        <v>360</v>
      </c>
      <c r="D29" s="1">
        <f t="shared" si="0"/>
        <v>268.71323999999998</v>
      </c>
      <c r="I29" s="1">
        <f>MAX(SLAmin, MIN(SLAmax,SLAhst_min*C29+SLAhin))</f>
        <v>296.47320000000002</v>
      </c>
      <c r="J29" s="1">
        <f>MAX(SLAmin, MIN(SLAmax,SLAhst_max*C29+SLAhin))</f>
        <v>240.95399999999998</v>
      </c>
    </row>
    <row r="30" spans="3:10" x14ac:dyDescent="0.25">
      <c r="C30">
        <v>375</v>
      </c>
      <c r="D30" s="1">
        <f t="shared" si="0"/>
        <v>262.93012499999998</v>
      </c>
      <c r="I30" s="1">
        <f>MAX(SLAmin, MIN(SLAmax,SLAhst_min*C30+SLAhin))</f>
        <v>291.84674999999999</v>
      </c>
      <c r="J30" s="1">
        <f>MAX(SLAmin, MIN(SLAmax,SLAhst_max*C30+SLAhin))</f>
        <v>234.01424999999998</v>
      </c>
    </row>
    <row r="31" spans="3:10" x14ac:dyDescent="0.25">
      <c r="C31">
        <v>390</v>
      </c>
      <c r="D31" s="1">
        <f t="shared" si="0"/>
        <v>257.14700999999997</v>
      </c>
      <c r="I31" s="1">
        <f>MAX(SLAmin, MIN(SLAmax,SLAhst_min*C31+SLAhin))</f>
        <v>287.22030000000001</v>
      </c>
      <c r="J31" s="1">
        <f>MAX(SLAmin, MIN(SLAmax,SLAhst_max*C31+SLAhin))</f>
        <v>227.07449999999997</v>
      </c>
    </row>
    <row r="32" spans="3:10" x14ac:dyDescent="0.25">
      <c r="C32">
        <v>405</v>
      </c>
      <c r="D32" s="1">
        <f t="shared" si="0"/>
        <v>251.36389499999999</v>
      </c>
      <c r="I32" s="1">
        <f>MAX(SLAmin, MIN(SLAmax,SLAhst_min*C32+SLAhin))</f>
        <v>282.59384999999997</v>
      </c>
      <c r="J32" s="1">
        <f>MAX(SLAmin, MIN(SLAmax,SLAhst_max*C32+SLAhin))</f>
        <v>220.13474999999997</v>
      </c>
    </row>
    <row r="33" spans="3:10" x14ac:dyDescent="0.25">
      <c r="C33">
        <v>420</v>
      </c>
      <c r="D33" s="1">
        <f t="shared" si="0"/>
        <v>245.58077999999998</v>
      </c>
      <c r="I33" s="1">
        <f>MAX(SLAmin, MIN(SLAmax,SLAhst_min*C33+SLAhin))</f>
        <v>277.9674</v>
      </c>
      <c r="J33" s="1">
        <f>MAX(SLAmin, MIN(SLAmax,SLAhst_max*C33+SLAhin))</f>
        <v>213.19499999999999</v>
      </c>
    </row>
    <row r="34" spans="3:10" x14ac:dyDescent="0.25">
      <c r="C34">
        <v>435</v>
      </c>
      <c r="D34" s="1">
        <f t="shared" si="0"/>
        <v>239.79766499999997</v>
      </c>
      <c r="I34" s="1">
        <f>MAX(SLAmin, MIN(SLAmax,SLAhst_min*C34+SLAhin))</f>
        <v>273.34095000000002</v>
      </c>
      <c r="J34" s="1">
        <f>MAX(SLAmin, MIN(SLAmax,SLAhst_max*C34+SLAhin))</f>
        <v>206.25524999999999</v>
      </c>
    </row>
    <row r="35" spans="3:10" x14ac:dyDescent="0.25">
      <c r="C35">
        <v>450</v>
      </c>
      <c r="D35" s="1">
        <f t="shared" si="0"/>
        <v>234.01454999999996</v>
      </c>
      <c r="I35" s="1">
        <f>MAX(SLAmin, MIN(SLAmax,SLAhst_min*C35+SLAhin))</f>
        <v>268.71449999999999</v>
      </c>
      <c r="J35" s="1">
        <f>MAX(SLAmin, MIN(SLAmax,SLAhst_max*C35+SLAhin))</f>
        <v>199.31549999999999</v>
      </c>
    </row>
    <row r="36" spans="3:10" x14ac:dyDescent="0.25">
      <c r="C36">
        <v>465</v>
      </c>
      <c r="D36" s="1">
        <f t="shared" si="0"/>
        <v>228.23143499999998</v>
      </c>
      <c r="I36" s="1">
        <f>MAX(SLAmin, MIN(SLAmax,SLAhst_min*C36+SLAhin))</f>
        <v>264.08804999999995</v>
      </c>
      <c r="J36" s="1">
        <f>MAX(SLAmin, MIN(SLAmax,SLAhst_max*C36+SLAhin))</f>
        <v>192.37574999999998</v>
      </c>
    </row>
    <row r="37" spans="3:10" x14ac:dyDescent="0.25">
      <c r="C37">
        <v>480</v>
      </c>
      <c r="D37" s="1">
        <f t="shared" ref="D37:D68" si="1">MAX(SLAmin, MIN(SLAmax,SLAhst*C37+SLAhin))</f>
        <v>222.44831999999997</v>
      </c>
      <c r="I37" s="1">
        <f>MAX(SLAmin, MIN(SLAmax,SLAhst_min*C37+SLAhin))</f>
        <v>259.46159999999998</v>
      </c>
      <c r="J37" s="1">
        <f>MAX(SLAmin, MIN(SLAmax,SLAhst_max*C37+SLAhin))</f>
        <v>185.43599999999998</v>
      </c>
    </row>
    <row r="38" spans="3:10" x14ac:dyDescent="0.25">
      <c r="C38">
        <v>495</v>
      </c>
      <c r="D38" s="1">
        <f t="shared" si="1"/>
        <v>216.66520499999996</v>
      </c>
      <c r="I38" s="1">
        <f>MAX(SLAmin, MIN(SLAmax,SLAhst_min*C38+SLAhin))</f>
        <v>254.83515</v>
      </c>
      <c r="J38" s="1">
        <f>MAX(SLAmin, MIN(SLAmax,SLAhst_max*C38+SLAhin))</f>
        <v>178.49624999999997</v>
      </c>
    </row>
    <row r="39" spans="3:10" x14ac:dyDescent="0.25">
      <c r="C39">
        <v>510</v>
      </c>
      <c r="D39" s="1">
        <f t="shared" si="1"/>
        <v>210.88208999999998</v>
      </c>
      <c r="I39" s="1">
        <f>MAX(SLAmin, MIN(SLAmax,SLAhst_min*C39+SLAhin))</f>
        <v>250.20869999999999</v>
      </c>
      <c r="J39" s="1">
        <f>MAX(SLAmin, MIN(SLAmax,SLAhst_max*C39+SLAhin))</f>
        <v>171.55649999999997</v>
      </c>
    </row>
    <row r="40" spans="3:10" x14ac:dyDescent="0.25">
      <c r="C40">
        <v>525</v>
      </c>
      <c r="D40" s="1">
        <f t="shared" si="1"/>
        <v>205.09897499999997</v>
      </c>
      <c r="I40" s="1">
        <f>MAX(SLAmin, MIN(SLAmax,SLAhst_min*C40+SLAhin))</f>
        <v>245.58224999999999</v>
      </c>
      <c r="J40" s="1">
        <f>MAX(SLAmin, MIN(SLAmax,SLAhst_max*C40+SLAhin))</f>
        <v>164.61674999999997</v>
      </c>
    </row>
    <row r="41" spans="3:10" x14ac:dyDescent="0.25">
      <c r="C41">
        <v>540</v>
      </c>
      <c r="D41" s="1">
        <f t="shared" si="1"/>
        <v>199.31585999999996</v>
      </c>
      <c r="I41" s="1">
        <f>MAX(SLAmin, MIN(SLAmax,SLAhst_min*C41+SLAhin))</f>
        <v>240.95579999999998</v>
      </c>
      <c r="J41" s="1">
        <f>MAX(SLAmin, MIN(SLAmax,SLAhst_max*C41+SLAhin))</f>
        <v>157.67699999999996</v>
      </c>
    </row>
    <row r="42" spans="3:10" x14ac:dyDescent="0.25">
      <c r="C42">
        <v>555</v>
      </c>
      <c r="D42" s="1">
        <f t="shared" si="1"/>
        <v>193.53274499999998</v>
      </c>
      <c r="I42" s="1">
        <f>MAX(SLAmin, MIN(SLAmax,SLAhst_min*C42+SLAhin))</f>
        <v>236.32935000000001</v>
      </c>
      <c r="J42" s="1">
        <f>MAX(SLAmin, MIN(SLAmax,SLAhst_max*C42+SLAhin))</f>
        <v>150.73724999999996</v>
      </c>
    </row>
    <row r="43" spans="3:10" x14ac:dyDescent="0.25">
      <c r="C43">
        <v>570</v>
      </c>
      <c r="D43" s="1">
        <f t="shared" si="1"/>
        <v>187.74962999999997</v>
      </c>
      <c r="I43" s="1">
        <f>MAX(SLAmin, MIN(SLAmax,SLAhst_min*C43+SLAhin))</f>
        <v>231.7029</v>
      </c>
      <c r="J43" s="1">
        <f>MAX(SLAmin, MIN(SLAmax,SLAhst_max*C43+SLAhin))</f>
        <v>143.79749999999996</v>
      </c>
    </row>
    <row r="44" spans="3:10" x14ac:dyDescent="0.25">
      <c r="C44">
        <v>585</v>
      </c>
      <c r="D44" s="1">
        <f t="shared" si="1"/>
        <v>181.96651499999996</v>
      </c>
      <c r="I44" s="1">
        <f>MAX(SLAmin, MIN(SLAmax,SLAhst_min*C44+SLAhin))</f>
        <v>227.07644999999999</v>
      </c>
      <c r="J44" s="1">
        <f>MAX(SLAmin, MIN(SLAmax,SLAhst_max*C44+SLAhin))</f>
        <v>136.85774999999995</v>
      </c>
    </row>
    <row r="45" spans="3:10" x14ac:dyDescent="0.25">
      <c r="C45">
        <v>600</v>
      </c>
      <c r="D45" s="1">
        <f t="shared" si="1"/>
        <v>176.18339999999998</v>
      </c>
      <c r="I45" s="1">
        <f>MAX(SLAmin, MIN(SLAmax,SLAhst_min*C45+SLAhin))</f>
        <v>222.45</v>
      </c>
      <c r="J45" s="1">
        <f>MAX(SLAmin, MIN(SLAmax,SLAhst_max*C45+SLAhin))</f>
        <v>129.91799999999995</v>
      </c>
    </row>
    <row r="46" spans="3:10" x14ac:dyDescent="0.25">
      <c r="C46">
        <v>615</v>
      </c>
      <c r="D46" s="1">
        <f t="shared" si="1"/>
        <v>170.40028499999997</v>
      </c>
      <c r="I46" s="1">
        <f>MAX(SLAmin, MIN(SLAmax,SLAhst_min*C46+SLAhin))</f>
        <v>217.82354999999998</v>
      </c>
      <c r="J46" s="1">
        <f>MAX(SLAmin, MIN(SLAmax,SLAhst_max*C46+SLAhin))</f>
        <v>122.97825</v>
      </c>
    </row>
    <row r="47" spans="3:10" x14ac:dyDescent="0.25">
      <c r="C47">
        <v>630</v>
      </c>
      <c r="D47" s="1">
        <f t="shared" si="1"/>
        <v>164.61716999999996</v>
      </c>
      <c r="I47" s="1">
        <f>MAX(SLAmin, MIN(SLAmax,SLAhst_min*C47+SLAhin))</f>
        <v>213.19710000000001</v>
      </c>
      <c r="J47" s="1">
        <f>MAX(SLAmin, MIN(SLAmax,SLAhst_max*C47+SLAhin))</f>
        <v>116.0385</v>
      </c>
    </row>
    <row r="48" spans="3:10" x14ac:dyDescent="0.25">
      <c r="C48">
        <v>645</v>
      </c>
      <c r="D48" s="1">
        <f t="shared" si="1"/>
        <v>158.83405499999998</v>
      </c>
      <c r="I48" s="1">
        <f>MAX(SLAmin, MIN(SLAmax,SLAhst_min*C48+SLAhin))</f>
        <v>208.57065</v>
      </c>
      <c r="J48" s="1">
        <f>MAX(SLAmin, MIN(SLAmax,SLAhst_max*C48+SLAhin))</f>
        <v>109.09875</v>
      </c>
    </row>
    <row r="49" spans="3:10" x14ac:dyDescent="0.25">
      <c r="C49">
        <v>660</v>
      </c>
      <c r="D49" s="1">
        <f t="shared" si="1"/>
        <v>153.05093999999997</v>
      </c>
      <c r="I49" s="1">
        <f>MAX(SLAmin, MIN(SLAmax,SLAhst_min*C49+SLAhin))</f>
        <v>203.9442</v>
      </c>
      <c r="J49" s="1">
        <f>MAX(SLAmin, MIN(SLAmax,SLAhst_max*C49+SLAhin))</f>
        <v>102.15899999999999</v>
      </c>
    </row>
    <row r="50" spans="3:10" x14ac:dyDescent="0.25">
      <c r="C50">
        <v>675</v>
      </c>
      <c r="D50" s="1">
        <f t="shared" si="1"/>
        <v>147.26782499999996</v>
      </c>
      <c r="I50" s="1">
        <f>MAX(SLAmin, MIN(SLAmax,SLAhst_min*C50+SLAhin))</f>
        <v>199.31774999999999</v>
      </c>
      <c r="J50" s="1">
        <f>MAX(SLAmin, MIN(SLAmax,SLAhst_max*C50+SLAhin))</f>
        <v>100</v>
      </c>
    </row>
    <row r="51" spans="3:10" x14ac:dyDescent="0.25">
      <c r="C51">
        <v>690</v>
      </c>
      <c r="D51" s="1">
        <f t="shared" si="1"/>
        <v>141.48470999999995</v>
      </c>
      <c r="I51" s="1">
        <f>MAX(SLAmin, MIN(SLAmax,SLAhst_min*C51+SLAhin))</f>
        <v>194.69129999999998</v>
      </c>
      <c r="J51" s="1">
        <f>MAX(SLAmin, MIN(SLAmax,SLAhst_max*C51+SLAhin))</f>
        <v>100</v>
      </c>
    </row>
    <row r="52" spans="3:10" x14ac:dyDescent="0.25">
      <c r="C52">
        <v>705</v>
      </c>
      <c r="D52" s="1">
        <f t="shared" si="1"/>
        <v>135.70159499999994</v>
      </c>
      <c r="I52" s="1">
        <f>MAX(SLAmin, MIN(SLAmax,SLAhst_min*C52+SLAhin))</f>
        <v>190.06485000000001</v>
      </c>
      <c r="J52" s="1">
        <f>MAX(SLAmin, MIN(SLAmax,SLAhst_max*C52+SLAhin))</f>
        <v>100</v>
      </c>
    </row>
    <row r="53" spans="3:10" x14ac:dyDescent="0.25">
      <c r="C53">
        <v>720</v>
      </c>
      <c r="D53" s="1">
        <f t="shared" si="1"/>
        <v>129.91847999999999</v>
      </c>
      <c r="I53" s="1">
        <f>MAX(SLAmin, MIN(SLAmax,SLAhst_min*C53+SLAhin))</f>
        <v>185.4384</v>
      </c>
      <c r="J53" s="1">
        <f>MAX(SLAmin, MIN(SLAmax,SLAhst_max*C53+SLAhin))</f>
        <v>100</v>
      </c>
    </row>
    <row r="54" spans="3:10" x14ac:dyDescent="0.25">
      <c r="C54">
        <v>735</v>
      </c>
      <c r="D54" s="1">
        <f t="shared" si="1"/>
        <v>124.13536499999998</v>
      </c>
      <c r="I54" s="1">
        <f>MAX(SLAmin, MIN(SLAmax,SLAhst_min*C54+SLAhin))</f>
        <v>180.81195</v>
      </c>
      <c r="J54" s="1">
        <f>MAX(SLAmin, MIN(SLAmax,SLAhst_max*C54+SLAhin))</f>
        <v>100</v>
      </c>
    </row>
    <row r="55" spans="3:10" x14ac:dyDescent="0.25">
      <c r="C55">
        <v>750</v>
      </c>
      <c r="D55" s="1">
        <f t="shared" si="1"/>
        <v>118.35224999999997</v>
      </c>
      <c r="I55" s="1">
        <f>MAX(SLAmin, MIN(SLAmax,SLAhst_min*C55+SLAhin))</f>
        <v>176.18549999999999</v>
      </c>
      <c r="J55" s="1">
        <f>MAX(SLAmin, MIN(SLAmax,SLAhst_max*C55+SLAhin))</f>
        <v>100</v>
      </c>
    </row>
    <row r="56" spans="3:10" x14ac:dyDescent="0.25">
      <c r="C56">
        <v>765</v>
      </c>
      <c r="D56" s="1">
        <f t="shared" si="1"/>
        <v>112.56913499999996</v>
      </c>
      <c r="I56" s="1">
        <f>MAX(SLAmin, MIN(SLAmax,SLAhst_min*C56+SLAhin))</f>
        <v>171.55904999999998</v>
      </c>
      <c r="J56" s="1">
        <f>MAX(SLAmin, MIN(SLAmax,SLAhst_max*C56+SLAhin))</f>
        <v>100</v>
      </c>
    </row>
    <row r="57" spans="3:10" x14ac:dyDescent="0.25">
      <c r="C57">
        <v>780</v>
      </c>
      <c r="D57" s="1">
        <f t="shared" si="1"/>
        <v>106.78601999999995</v>
      </c>
      <c r="I57" s="1">
        <f>MAX(SLAmin, MIN(SLAmax,SLAhst_min*C57+SLAhin))</f>
        <v>166.93260000000001</v>
      </c>
      <c r="J57" s="1">
        <f>MAX(SLAmin, MIN(SLAmax,SLAhst_max*C57+SLAhin))</f>
        <v>100</v>
      </c>
    </row>
    <row r="58" spans="3:10" x14ac:dyDescent="0.25">
      <c r="C58">
        <v>795</v>
      </c>
      <c r="D58" s="1">
        <f t="shared" si="1"/>
        <v>101.00290499999994</v>
      </c>
      <c r="I58" s="1">
        <f>MAX(SLAmin, MIN(SLAmax,SLAhst_min*C58+SLAhin))</f>
        <v>162.30615</v>
      </c>
      <c r="J58" s="1">
        <f>MAX(SLAmin, MIN(SLAmax,SLAhst_max*C58+SLAhin))</f>
        <v>100</v>
      </c>
    </row>
    <row r="59" spans="3:10" x14ac:dyDescent="0.25">
      <c r="C59">
        <v>810</v>
      </c>
      <c r="D59" s="1">
        <f t="shared" si="1"/>
        <v>100</v>
      </c>
      <c r="I59" s="1">
        <f>MAX(SLAmin, MIN(SLAmax,SLAhst_min*C59+SLAhin))</f>
        <v>157.6797</v>
      </c>
      <c r="J59" s="1">
        <f>MAX(SLAmin, MIN(SLAmax,SLAhst_max*C59+SLAhin))</f>
        <v>100</v>
      </c>
    </row>
    <row r="60" spans="3:10" x14ac:dyDescent="0.25">
      <c r="C60">
        <v>825</v>
      </c>
      <c r="D60" s="1">
        <f t="shared" si="1"/>
        <v>100</v>
      </c>
      <c r="I60" s="1">
        <f>MAX(SLAmin, MIN(SLAmax,SLAhst_min*C60+SLAhin))</f>
        <v>153.05324999999999</v>
      </c>
      <c r="J60" s="1">
        <f>MAX(SLAmin, MIN(SLAmax,SLAhst_max*C60+SLAhin))</f>
        <v>100</v>
      </c>
    </row>
    <row r="61" spans="3:10" x14ac:dyDescent="0.25">
      <c r="C61">
        <v>840</v>
      </c>
      <c r="D61" s="1">
        <f t="shared" si="1"/>
        <v>100</v>
      </c>
      <c r="I61" s="1">
        <f>MAX(SLAmin, MIN(SLAmax,SLAhst_min*C61+SLAhin))</f>
        <v>148.42680000000001</v>
      </c>
      <c r="J61" s="1">
        <f>MAX(SLAmin, MIN(SLAmax,SLAhst_max*C61+SLAhin))</f>
        <v>100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7</vt:i4>
      </vt:variant>
    </vt:vector>
  </HeadingPairs>
  <TitlesOfParts>
    <vt:vector size="8" baseType="lpstr">
      <vt:lpstr>Tabelle1</vt:lpstr>
      <vt:lpstr>SLAhin</vt:lpstr>
      <vt:lpstr>SLAhst</vt:lpstr>
      <vt:lpstr>SLAhst_max</vt:lpstr>
      <vt:lpstr>SLAhst_min</vt:lpstr>
      <vt:lpstr>SLAmax</vt:lpstr>
      <vt:lpstr>SLAmin</vt:lpstr>
      <vt:lpstr>Tsum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h_kage</dc:creator>
  <cp:lastModifiedBy>h_kage</cp:lastModifiedBy>
  <dcterms:created xsi:type="dcterms:W3CDTF">2020-04-30T07:08:11Z</dcterms:created>
  <dcterms:modified xsi:type="dcterms:W3CDTF">2020-05-02T12:44:36Z</dcterms:modified>
</cp:coreProperties>
</file>